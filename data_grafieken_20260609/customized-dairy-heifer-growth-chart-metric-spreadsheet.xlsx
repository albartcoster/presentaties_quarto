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drawings/drawing5.xml" ContentType="application/vnd.openxmlformats-officedocument.drawingml.chartshapes+xml"/>
  <Override PartName="/xl/drawings/drawing6.xml" ContentType="application/vnd.openxmlformats-officedocument.drawing+xml"/>
  <Override PartName="/xl/charts/chart2.xml" ContentType="application/vnd.openxmlformats-officedocument.drawingml.chart+xml"/>
  <Override PartName="/xl/drawings/drawing7.xml" ContentType="application/vnd.openxmlformats-officedocument.drawingml.chartshapes+xml"/>
  <Override PartName="/xl/drawings/drawing8.xml" ContentType="application/vnd.openxmlformats-officedocument.drawing+xml"/>
  <Override PartName="/xl/charts/chart3.xml" ContentType="application/vnd.openxmlformats-officedocument.drawingml.chart+xml"/>
  <Override PartName="/xl/drawings/drawing9.xml" ContentType="application/vnd.openxmlformats-officedocument.drawingml.chartshape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Eigenaar\Documents\quarto_presentaties\data_grafieken_20260609\"/>
    </mc:Choice>
  </mc:AlternateContent>
  <xr:revisionPtr revIDLastSave="0" documentId="13_ncr:1_{0EA4DD4A-0A5C-4E16-B478-F295CDCD5126}" xr6:coauthVersionLast="47" xr6:coauthVersionMax="47" xr10:uidLastSave="{00000000-0000-0000-0000-000000000000}"/>
  <bookViews>
    <workbookView xWindow="25080" yWindow="345" windowWidth="19440" windowHeight="14880" tabRatio="836" firstSheet="1" activeTab="3" xr2:uid="{00000000-000D-0000-FFFF-FFFF00000000}"/>
  </bookViews>
  <sheets>
    <sheet name="Penn State Extension - ReadMe" sheetId="8" r:id="rId1"/>
    <sheet name="Calculations" sheetId="1" r:id="rId2"/>
    <sheet name="Custom Table" sheetId="2" r:id="rId3"/>
    <sheet name="Weight Graph" sheetId="3" r:id="rId4"/>
    <sheet name="Height Graph" sheetId="6" r:id="rId5"/>
    <sheet name="% Mature Size Graph" sheetId="4" r:id="rId6"/>
    <sheet name="Input Heifer Data" sheetId="5" r:id="rId7"/>
  </sheets>
  <definedNames>
    <definedName name="_xlnm.Print_Area" localSheetId="2">'Custom Table'!$A$1:$F$34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5" l="1"/>
  <c r="J2" i="5"/>
  <c r="I3" i="5"/>
  <c r="J3" i="5"/>
  <c r="I4" i="5"/>
  <c r="J4" i="5"/>
  <c r="I5" i="5"/>
  <c r="J5" i="5"/>
  <c r="I6" i="5"/>
  <c r="J6" i="5"/>
  <c r="I7" i="5"/>
  <c r="J7" i="5"/>
  <c r="I8" i="5"/>
  <c r="J8" i="5"/>
  <c r="I9" i="5"/>
  <c r="J9" i="5"/>
  <c r="I10" i="5"/>
  <c r="J10" i="5"/>
  <c r="I11" i="5"/>
  <c r="J11" i="5"/>
  <c r="I12" i="5"/>
  <c r="J12" i="5"/>
  <c r="I13" i="5"/>
  <c r="J13" i="5"/>
  <c r="I14" i="5"/>
  <c r="J14" i="5"/>
  <c r="I15" i="5"/>
  <c r="J15" i="5"/>
  <c r="I16" i="5"/>
  <c r="J16" i="5"/>
  <c r="I17" i="5"/>
  <c r="J17" i="5"/>
  <c r="I18" i="5"/>
  <c r="J18" i="5"/>
  <c r="I19" i="5"/>
  <c r="J19" i="5"/>
  <c r="I20" i="5"/>
  <c r="J20" i="5"/>
  <c r="I21" i="5"/>
  <c r="J21" i="5"/>
  <c r="I22" i="5"/>
  <c r="J22" i="5"/>
  <c r="I23" i="5"/>
  <c r="J23" i="5"/>
  <c r="I24" i="5"/>
  <c r="J24" i="5"/>
  <c r="I25" i="5"/>
  <c r="J25" i="5"/>
  <c r="I26" i="5"/>
  <c r="J26" i="5"/>
  <c r="I27" i="5"/>
  <c r="J27" i="5"/>
  <c r="I28" i="5"/>
  <c r="J28" i="5"/>
  <c r="I29" i="5"/>
  <c r="J29" i="5"/>
  <c r="I30" i="5"/>
  <c r="J30" i="5"/>
  <c r="I31" i="5"/>
  <c r="J31" i="5"/>
  <c r="I32" i="5"/>
  <c r="J32" i="5"/>
  <c r="I33" i="5"/>
  <c r="J33" i="5"/>
  <c r="I34" i="5"/>
  <c r="J34" i="5"/>
  <c r="I35" i="5"/>
  <c r="J35" i="5"/>
  <c r="I36" i="5"/>
  <c r="J36" i="5"/>
  <c r="I37" i="5"/>
  <c r="J37" i="5"/>
  <c r="I38" i="5"/>
  <c r="J38" i="5"/>
  <c r="I39" i="5"/>
  <c r="J39" i="5"/>
  <c r="I40" i="5"/>
  <c r="J40" i="5"/>
  <c r="I41" i="5"/>
  <c r="J41" i="5"/>
  <c r="I42" i="5"/>
  <c r="J42" i="5"/>
  <c r="I43" i="5"/>
  <c r="J43" i="5"/>
  <c r="I44" i="5"/>
  <c r="J44" i="5"/>
  <c r="I45" i="5"/>
  <c r="J45" i="5"/>
  <c r="I46" i="5"/>
  <c r="J46" i="5"/>
  <c r="I47" i="5"/>
  <c r="J47" i="5"/>
  <c r="I48" i="5"/>
  <c r="J48" i="5"/>
  <c r="I49" i="5"/>
  <c r="J49" i="5"/>
  <c r="I50" i="5"/>
  <c r="J50" i="5"/>
  <c r="I51" i="5"/>
  <c r="J51" i="5"/>
  <c r="I52" i="5"/>
  <c r="J52" i="5"/>
  <c r="I53" i="5"/>
  <c r="J53" i="5"/>
  <c r="I54" i="5"/>
  <c r="J54" i="5"/>
  <c r="I55" i="5"/>
  <c r="J55" i="5"/>
  <c r="I56" i="5"/>
  <c r="J56" i="5"/>
  <c r="G20" i="1"/>
  <c r="G21" i="1" l="1"/>
  <c r="E38" i="2" l="1"/>
  <c r="E39" i="2" s="1"/>
  <c r="F38" i="2"/>
  <c r="H8" i="1"/>
  <c r="I36" i="1"/>
  <c r="B44" i="2" s="1"/>
  <c r="I32" i="1"/>
  <c r="E6" i="2" l="1"/>
  <c r="B45" i="2"/>
  <c r="B46" i="2" s="1"/>
  <c r="F41" i="2"/>
  <c r="F6" i="2"/>
  <c r="B33" i="2"/>
  <c r="B34" i="2"/>
  <c r="E37" i="2"/>
  <c r="C49" i="2" l="1"/>
  <c r="B47" i="2"/>
  <c r="C50" i="2" s="1"/>
  <c r="C51" i="2"/>
  <c r="E7" i="2"/>
  <c r="E8" i="2" s="1"/>
  <c r="E9" i="2" s="1"/>
  <c r="E10" i="2" s="1"/>
  <c r="E11" i="2" s="1"/>
  <c r="E12" i="2" s="1"/>
  <c r="E13" i="2" s="1"/>
  <c r="E14" i="2" s="1"/>
  <c r="E15" i="2" s="1"/>
  <c r="E16" i="2" s="1"/>
  <c r="E17" i="2" s="1"/>
  <c r="E18" i="2" s="1"/>
  <c r="B6" i="2"/>
  <c r="B25" i="2"/>
  <c r="B26" i="2"/>
  <c r="B27" i="2"/>
  <c r="B28" i="2"/>
  <c r="B29" i="2"/>
  <c r="B30" i="2"/>
  <c r="B31" i="2"/>
  <c r="B32" i="2"/>
  <c r="B24" i="2"/>
  <c r="G36" i="1"/>
  <c r="G32" i="1"/>
  <c r="C6" i="2"/>
  <c r="B23" i="2"/>
  <c r="B22" i="2"/>
  <c r="B21" i="2"/>
  <c r="B20" i="2"/>
  <c r="B19" i="2"/>
  <c r="B18" i="2"/>
  <c r="B17" i="2"/>
  <c r="B16" i="2"/>
  <c r="B15" i="2"/>
  <c r="B14" i="2"/>
  <c r="B13" i="2"/>
  <c r="B12" i="2"/>
  <c r="B11" i="2"/>
  <c r="B10" i="2"/>
  <c r="B9" i="2"/>
  <c r="B8" i="2"/>
  <c r="B7" i="2"/>
  <c r="G31" i="1"/>
  <c r="E19" i="2" l="1"/>
  <c r="E20" i="2" s="1"/>
  <c r="E21" i="2" s="1"/>
  <c r="E22" i="2" s="1"/>
  <c r="E23" i="2" s="1"/>
  <c r="E24" i="2" s="1"/>
  <c r="E25" i="2" s="1"/>
  <c r="E26" i="2" s="1"/>
  <c r="E27" i="2" s="1"/>
  <c r="E28" i="2" s="1"/>
  <c r="E29" i="2" s="1"/>
  <c r="E30" i="2" s="1"/>
  <c r="E31" i="2" s="1"/>
  <c r="E32" i="2" s="1"/>
  <c r="E33" i="2" s="1"/>
  <c r="E34" i="2" s="1"/>
  <c r="D6" i="2"/>
  <c r="C7" i="2"/>
  <c r="C8" i="2" s="1"/>
  <c r="G35" i="1"/>
  <c r="G37" i="1" s="1"/>
  <c r="E41" i="2"/>
  <c r="C34" i="2" s="1"/>
  <c r="G33" i="1"/>
  <c r="G30" i="1"/>
  <c r="I33" i="1"/>
  <c r="I37" i="1"/>
  <c r="G24" i="1"/>
  <c r="G23" i="1" s="1"/>
  <c r="C9" i="2" l="1"/>
  <c r="C10" i="2" s="1"/>
  <c r="C11" i="2" s="1"/>
  <c r="C12" i="2" s="1"/>
  <c r="C13" i="2" s="1"/>
  <c r="C14" i="2" s="1"/>
  <c r="C15" i="2" s="1"/>
  <c r="C16" i="2" s="1"/>
  <c r="C17" i="2" s="1"/>
  <c r="C18" i="2" s="1"/>
  <c r="C19" i="2" s="1"/>
  <c r="C20" i="2" s="1"/>
  <c r="C21" i="2" s="1"/>
  <c r="C22" i="2" s="1"/>
  <c r="C23" i="2" s="1"/>
  <c r="C24" i="2" s="1"/>
  <c r="C25" i="2" s="1"/>
  <c r="C26" i="2" s="1"/>
  <c r="C27" i="2" s="1"/>
  <c r="C28" i="2" s="1"/>
  <c r="C29" i="2" s="1"/>
  <c r="C30" i="2" s="1"/>
  <c r="C31" i="2"/>
  <c r="C32" i="2"/>
  <c r="G25" i="1"/>
  <c r="C33" i="2"/>
  <c r="F7" i="2"/>
  <c r="D7" i="2"/>
  <c r="F8" i="2" l="1"/>
  <c r="D34" i="2"/>
  <c r="D33" i="2"/>
  <c r="D8" i="2"/>
  <c r="F9" i="2" l="1"/>
  <c r="D9" i="2"/>
  <c r="F10" i="2" l="1"/>
  <c r="D10" i="2"/>
  <c r="F11" i="2" l="1"/>
  <c r="D11" i="2"/>
  <c r="F12" i="2" l="1"/>
  <c r="D12" i="2"/>
  <c r="F13" i="2" l="1"/>
  <c r="D13" i="2"/>
  <c r="F14" i="2" l="1"/>
  <c r="D14" i="2"/>
  <c r="F15" i="2" l="1"/>
  <c r="D15" i="2"/>
  <c r="F16" i="2" l="1"/>
  <c r="D16" i="2"/>
  <c r="F17" i="2" l="1"/>
  <c r="D17" i="2"/>
  <c r="F18" i="2" l="1"/>
  <c r="D18" i="2"/>
  <c r="F19" i="2" l="1"/>
  <c r="D19" i="2"/>
  <c r="F20" i="2" l="1"/>
  <c r="D20" i="2"/>
  <c r="F21" i="2" l="1"/>
  <c r="D21" i="2"/>
  <c r="F22" i="2" l="1"/>
  <c r="D22" i="2"/>
  <c r="F23" i="2" l="1"/>
  <c r="D23" i="2"/>
  <c r="F24" i="2" l="1"/>
  <c r="D24" i="2"/>
  <c r="F25" i="2" l="1"/>
  <c r="D25" i="2"/>
  <c r="F26" i="2" l="1"/>
  <c r="D26" i="2"/>
  <c r="F27" i="2" l="1"/>
  <c r="D27" i="2"/>
  <c r="F28" i="2" l="1"/>
  <c r="D28" i="2"/>
  <c r="F29" i="2" l="1"/>
  <c r="D29" i="2"/>
  <c r="F30" i="2" l="1"/>
  <c r="D30" i="2"/>
  <c r="F31" i="2" l="1"/>
  <c r="D32" i="2"/>
  <c r="D31" i="2"/>
  <c r="F32" i="2" l="1"/>
  <c r="F33" i="2" l="1"/>
  <c r="F3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Coleen</author>
  </authors>
  <commentList>
    <comment ref="G6" authorId="0" shapeId="0" xr:uid="{00000000-0006-0000-0100-000001000000}">
      <text>
        <r>
          <rPr>
            <b/>
            <sz val="9"/>
            <color indexed="81"/>
            <rFont val="Tahoma"/>
            <family val="2"/>
          </rPr>
          <t>Coleen:</t>
        </r>
        <r>
          <rPr>
            <sz val="9"/>
            <color indexed="81"/>
            <rFont val="Tahoma"/>
            <family val="2"/>
          </rPr>
          <t xml:space="preserve">
Use either withers or hip height; just be sure to use the same measurement for heifers and mature cows</t>
        </r>
      </text>
    </comment>
    <comment ref="A35" authorId="0" shapeId="0" xr:uid="{00000000-0006-0000-0100-000002000000}">
      <text>
        <r>
          <rPr>
            <sz val="9"/>
            <color indexed="81"/>
            <rFont val="Tahoma"/>
            <family val="2"/>
          </rPr>
          <t>Calculated based on NRC 2001 Equation 11-16.
Post-calving BW + Conceptus weight 7 d before calving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Coleen</author>
  </authors>
  <commentList>
    <comment ref="E1" authorId="0" shapeId="0" xr:uid="{00000000-0006-0000-0600-000001000000}">
      <text>
        <r>
          <rPr>
            <sz val="9"/>
            <color indexed="81"/>
            <rFont val="Tahoma"/>
            <family val="2"/>
          </rPr>
          <t>Enter average mature weight of cows in their 3rd lactation or enter mature weight of each heifer's dam.</t>
        </r>
      </text>
    </comment>
  </commentList>
</comments>
</file>

<file path=xl/sharedStrings.xml><?xml version="1.0" encoding="utf-8"?>
<sst xmlns="http://schemas.openxmlformats.org/spreadsheetml/2006/main" count="316" uniqueCount="201">
  <si>
    <t>Age, mo</t>
  </si>
  <si>
    <t>Age, d</t>
  </si>
  <si>
    <t>% MBW</t>
  </si>
  <si>
    <t>INPUT</t>
  </si>
  <si>
    <t>Preweaning Growth Goal:</t>
  </si>
  <si>
    <t>OUTPUT</t>
  </si>
  <si>
    <t>ADG = Average Daily Gain</t>
  </si>
  <si>
    <t>BW = Body Weight</t>
  </si>
  <si>
    <t>AFC = Age at First Calving</t>
  </si>
  <si>
    <t>MBW = Mature Body Weight</t>
  </si>
  <si>
    <t>Average services per conception for heifers:</t>
  </si>
  <si>
    <t>Goal for AFC (mo):</t>
  </si>
  <si>
    <t>Age to begin breeding heifers (mo):</t>
  </si>
  <si>
    <t>Age to begin breeding heifers (d):</t>
  </si>
  <si>
    <t>Age of heifers at first conception (mo):</t>
  </si>
  <si>
    <t>Age of heifers at first conception (d):</t>
  </si>
  <si>
    <t>If heifers reach breeding BW well before targeted breeding age, consider reducing AFC</t>
  </si>
  <si>
    <t>If heifers do not reach breeding BW by breeding age, increase ADG before breeding</t>
  </si>
  <si>
    <t>Calving interval (mo):</t>
  </si>
  <si>
    <t>AFC (d):</t>
  </si>
  <si>
    <t>Age (mo)</t>
  </si>
  <si>
    <r>
      <t>Average Size of 3</t>
    </r>
    <r>
      <rPr>
        <vertAlign val="superscript"/>
        <sz val="11"/>
        <color theme="1"/>
        <rFont val="Calibri"/>
        <family val="2"/>
        <scheme val="minor"/>
      </rPr>
      <t>rd</t>
    </r>
    <r>
      <rPr>
        <sz val="11"/>
        <color theme="1"/>
        <rFont val="Calibri"/>
        <family val="2"/>
        <scheme val="minor"/>
      </rPr>
      <t xml:space="preserve"> Lactation Cows:</t>
    </r>
  </si>
  <si>
    <t>Size of heifers at first conception:</t>
  </si>
  <si>
    <t>Size after calving:</t>
  </si>
  <si>
    <t>Based on Mature Size and Goal for Age at First Calving</t>
  </si>
  <si>
    <t>Customized Heifer Growth Chart</t>
  </si>
  <si>
    <t>Customized Dairy Heifer Growth Chart</t>
  </si>
  <si>
    <t>This spreadsheet is a tool designed to allow you to develop a growth curve for your heifers that is based on your goals for age at first calving. Calculations are based off of the mature size of animals in your herd and use the target growth system described in the 2001 Nutrient Requirements of Dairy Cattle.</t>
  </si>
  <si>
    <t>Average birth weight of calves.</t>
  </si>
  <si>
    <t>Average services per conception for heifers</t>
  </si>
  <si>
    <t>Goal for age at first calving</t>
  </si>
  <si>
    <t>based on mature size and goal for age at first calving</t>
  </si>
  <si>
    <t>Ht = Height, use withers or hip, just use the same one for heifers and mature cows</t>
  </si>
  <si>
    <t>MHt = Mature Height</t>
  </si>
  <si>
    <t>Average body weight and height of cows in third lactation in your herd. Do not include cull cows in this average, as they often have poor body condition that is not representative of average cows in the herd. Either withers or hip height can be used.</t>
  </si>
  <si>
    <t>% MHt</t>
  </si>
  <si>
    <t>Height</t>
  </si>
  <si>
    <t>%MHt</t>
  </si>
  <si>
    <t>BW (kg):</t>
  </si>
  <si>
    <t>Ht (cm):</t>
  </si>
  <si>
    <t>Calf BW at 2 months of age (kg):</t>
  </si>
  <si>
    <t>ADG from birth to 2 mo (g/d):</t>
  </si>
  <si>
    <t>BW to begin breeding (kg):</t>
  </si>
  <si>
    <t>ADG required from 2 mo to conception (g/d):</t>
  </si>
  <si>
    <t>BW 1 week before calving (kg):</t>
  </si>
  <si>
    <t>ADG required from conception to calving (g/d):</t>
  </si>
  <si>
    <t>BW, kg</t>
  </si>
  <si>
    <t>Ht, cm</t>
  </si>
  <si>
    <t>BW post 2nd calving (kg):</t>
  </si>
  <si>
    <t>BW 7 d before 2nd calving (kg):</t>
  </si>
  <si>
    <t>ADG required during 1st lacation (g/d):</t>
  </si>
  <si>
    <t>Height Targets</t>
  </si>
  <si>
    <t>At calving</t>
  </si>
  <si>
    <t>At birth</t>
  </si>
  <si>
    <t>At 6 mo</t>
  </si>
  <si>
    <t>At 12 mo</t>
  </si>
  <si>
    <t>birth to 6 mo</t>
  </si>
  <si>
    <t>6 to 12 mo</t>
  </si>
  <si>
    <t>12 mo to calving</t>
  </si>
  <si>
    <t>Assumptions for body weight targets are 55% of mature weight at first conception and 85% of mature weight after first calving, as cited in the 2001 Dairy NRC. Height targets are assumed to be 55% of mature height at birth and 96% of mature height at first calving; 50%  of height growth from birth to calving is assumed to occur between birth and 6 months with an additional 25% between 6 and 12 months and the final 25% between 12 months and calving. These targets were derived from a comparison of heifer growth data from all breeds to mature heights calculated by assuming mature body weight and using the relationship between withers height and body weight determined by Heinrichs et al., 1992 (J Dairy Sci 75:3576-3581) and from Kertz et al., 1998 (J Dairy Sci 81:1479-1482). Withers and hip height are assumed to change at the same rate throughout the growing period, meaning either one can be used to monitor growth as long as the same measurement is used for heifers and mature cows.</t>
  </si>
  <si>
    <t>Average Birth Weight of Calves (kg):</t>
  </si>
  <si>
    <t>Goal for average daily gain before weaning; entered either as the number of days to double birth weight or as a specific ADG goal.</t>
  </si>
  <si>
    <t>Double birth weight by __ days of age:</t>
  </si>
  <si>
    <r>
      <t xml:space="preserve">  </t>
    </r>
    <r>
      <rPr>
        <b/>
        <sz val="11"/>
        <color theme="1"/>
        <rFont val="Calibri"/>
        <family val="2"/>
        <scheme val="minor"/>
      </rPr>
      <t>OR</t>
    </r>
    <r>
      <rPr>
        <sz val="11"/>
        <color theme="1"/>
        <rFont val="Calibri"/>
        <family val="2"/>
        <scheme val="minor"/>
      </rPr>
      <t xml:space="preserve"> Enter desired ADG (g/d):</t>
    </r>
  </si>
  <si>
    <t>Breeding Holstein heifers before 12 months of age is NOT RECOMMENDED</t>
  </si>
  <si>
    <t xml:space="preserve">Extension Team: </t>
  </si>
  <si>
    <t>Dairy</t>
  </si>
  <si>
    <t>Tool Version:</t>
  </si>
  <si>
    <t xml:space="preserve">Author: </t>
  </si>
  <si>
    <t>Coleen Jones, Jud Heinrichs</t>
  </si>
  <si>
    <t>Last Updated:</t>
  </si>
  <si>
    <t xml:space="preserve">Contact Email: </t>
  </si>
  <si>
    <t>cmj11@psu.edu</t>
  </si>
  <si>
    <t>Website:</t>
  </si>
  <si>
    <t>http://extension.psu.edu/animals/dairy</t>
  </si>
  <si>
    <t>Description:</t>
  </si>
  <si>
    <t xml:space="preserve">User Instructions: </t>
  </si>
  <si>
    <t>Required Input (enter on the INPUT section of the CALCULATIONS worksheet)</t>
  </si>
  <si>
    <t>From this information the spreadsheet calculates the following</t>
  </si>
  <si>
    <r>
      <t xml:space="preserve">The </t>
    </r>
    <r>
      <rPr>
        <b/>
        <sz val="10"/>
        <color theme="1"/>
        <rFont val="Arial"/>
        <family val="2"/>
      </rPr>
      <t>OUTPUT section of the Calculations worksheet</t>
    </r>
    <r>
      <rPr>
        <sz val="10"/>
        <color theme="1"/>
        <rFont val="Arial"/>
        <family val="2"/>
      </rPr>
      <t>, including the age and body weight at which heifer breeding should begin; age and size of heifers at conception and the average daily gain required from 2 months of age to conception; and size at calving and the average daily gain required from conception to calving.</t>
    </r>
  </si>
  <si>
    <r>
      <t xml:space="preserve">A customized growth table, found on the </t>
    </r>
    <r>
      <rPr>
        <b/>
        <sz val="10"/>
        <color theme="1"/>
        <rFont val="Arial"/>
        <family val="2"/>
      </rPr>
      <t>Custom Table worksheet</t>
    </r>
    <r>
      <rPr>
        <sz val="10"/>
        <color theme="1"/>
        <rFont val="Arial"/>
        <family val="2"/>
      </rPr>
      <t>, that provides benchmarks for each month of age. This table is used as the basis for the graphs of customized body weight (</t>
    </r>
    <r>
      <rPr>
        <b/>
        <sz val="10"/>
        <color theme="1"/>
        <rFont val="Arial"/>
        <family val="2"/>
      </rPr>
      <t>Weight Graph worksheet</t>
    </r>
    <r>
      <rPr>
        <sz val="10"/>
        <color theme="1"/>
        <rFont val="Arial"/>
        <family val="2"/>
      </rPr>
      <t>) and height (</t>
    </r>
    <r>
      <rPr>
        <b/>
        <sz val="10"/>
        <color theme="1"/>
        <rFont val="Arial"/>
        <family val="2"/>
      </rPr>
      <t>Height Graph worksheet</t>
    </r>
    <r>
      <rPr>
        <sz val="10"/>
        <color theme="1"/>
        <rFont val="Arial"/>
        <family val="2"/>
      </rPr>
      <t>) growth curves, as well as a graph that provides growth curves on a percentage of mature size (</t>
    </r>
    <r>
      <rPr>
        <b/>
        <sz val="10"/>
        <color theme="1"/>
        <rFont val="Arial"/>
        <family val="2"/>
      </rPr>
      <t>% Mature Size Graph worksheet</t>
    </r>
    <r>
      <rPr>
        <sz val="10"/>
        <color theme="1"/>
        <rFont val="Arial"/>
        <family val="2"/>
      </rPr>
      <t>).</t>
    </r>
  </si>
  <si>
    <t>To plot growth data from your heifers on the graphs</t>
  </si>
  <si>
    <r>
      <t xml:space="preserve">Enter information on the final worksheet, </t>
    </r>
    <r>
      <rPr>
        <b/>
        <sz val="10"/>
        <color theme="1"/>
        <rFont val="Arial"/>
        <family val="2"/>
      </rPr>
      <t>Input Heifer Data</t>
    </r>
    <r>
      <rPr>
        <sz val="10"/>
        <color theme="1"/>
        <rFont val="Arial"/>
        <family val="2"/>
      </rPr>
      <t>. Mature size of cows can be entered as a herd average or individually for each heifer's dam. Pat Hoffman proposed a system for adjusting mature body weight based on weight and lactation number for purebred and crossbred animals (Proceedings of Western Dairy Management Conf., 2007) to reduce the impact of genetics on growth evaluation. If the Hoffman method is preferred, the %MBW calculation should be modified by adjusting mature body weights for lactation number.</t>
    </r>
  </si>
  <si>
    <t>The source data for each graph can be updated to include fewer or more cells as needed to accommodate the number of heifers you would like to plot. Alternatively, you may copy the data from the "Custom Table" worksheet into the "Recommendations" worksheet of any other Penn State growth spreadsheet if you wish to take advantage of the data summary features of those spreadsheets. If you need assistance with either method, please contact Coleen Jones at cmj11@psu.edu.</t>
  </si>
  <si>
    <t xml:space="preserve">References: </t>
  </si>
  <si>
    <t xml:space="preserve">Developed by Coleen Jones and Jud Heinrichs based on the principles of target growth described by the 2001 Nutrient Requirements of Dairy Cattle. </t>
  </si>
  <si>
    <t>Acknowledgement of Risk:</t>
  </si>
  <si>
    <t>This tool is provided for general informational purposes only and The Pennsylvania State University shall have no liability whatsoever for the use of or reliance on this tool.</t>
  </si>
  <si>
    <t>metric units</t>
  </si>
  <si>
    <t xml:space="preserve"> 1/ 9/25 </t>
  </si>
  <si>
    <t xml:space="preserve"> 2/ 9/25 </t>
  </si>
  <si>
    <t xml:space="preserve"> 3/ 9/25 </t>
  </si>
  <si>
    <t xml:space="preserve"> 4/ 9/25 </t>
  </si>
  <si>
    <t xml:space="preserve"> 5/ 9/25 </t>
  </si>
  <si>
    <t xml:space="preserve"> 6/ 9/25 </t>
  </si>
  <si>
    <t xml:space="preserve"> 7/ 9/25 </t>
  </si>
  <si>
    <t xml:space="preserve"> 8/ 9/25 </t>
  </si>
  <si>
    <t xml:space="preserve">11/ 9/25 </t>
  </si>
  <si>
    <t xml:space="preserve">12/ 9/25 </t>
  </si>
  <si>
    <t xml:space="preserve">13/ 9/25 </t>
  </si>
  <si>
    <t xml:space="preserve">14/ 9/25 </t>
  </si>
  <si>
    <t xml:space="preserve">15/ 9/25 </t>
  </si>
  <si>
    <t xml:space="preserve">17/ 9/25 </t>
  </si>
  <si>
    <t xml:space="preserve">18/ 9/25 </t>
  </si>
  <si>
    <t xml:space="preserve">19/ 9/25 </t>
  </si>
  <si>
    <t xml:space="preserve">20/ 9/25 </t>
  </si>
  <si>
    <t xml:space="preserve">21/ 9/25 </t>
  </si>
  <si>
    <t xml:space="preserve">22/ 9/25 </t>
  </si>
  <si>
    <t xml:space="preserve">23/ 9/25 </t>
  </si>
  <si>
    <t xml:space="preserve">25/ 9/25 </t>
  </si>
  <si>
    <t xml:space="preserve">27/ 9/25 </t>
  </si>
  <si>
    <t xml:space="preserve">28/ 9/25 </t>
  </si>
  <si>
    <t xml:space="preserve">22/10/25 </t>
  </si>
  <si>
    <t xml:space="preserve">25/ 3/25 </t>
  </si>
  <si>
    <t xml:space="preserve">27/ 3/25 </t>
  </si>
  <si>
    <t xml:space="preserve">28/ 3/25 </t>
  </si>
  <si>
    <t xml:space="preserve">17/ 4/25 </t>
  </si>
  <si>
    <t xml:space="preserve">21/ 4/25 </t>
  </si>
  <si>
    <t xml:space="preserve">22/ 4/25 </t>
  </si>
  <si>
    <t xml:space="preserve">23/ 4/25 </t>
  </si>
  <si>
    <t xml:space="preserve">24/ 4/25 </t>
  </si>
  <si>
    <t xml:space="preserve">25/ 4/25 </t>
  </si>
  <si>
    <t xml:space="preserve">26/ 4/25 </t>
  </si>
  <si>
    <t xml:space="preserve">27/ 4/25 </t>
  </si>
  <si>
    <t xml:space="preserve">28/ 4/25 </t>
  </si>
  <si>
    <t xml:space="preserve">29/ 4/25 </t>
  </si>
  <si>
    <t xml:space="preserve"> 1/ 5/25 </t>
  </si>
  <si>
    <t xml:space="preserve"> 2/ 5/25 </t>
  </si>
  <si>
    <t xml:space="preserve"> 3/ 5/25 </t>
  </si>
  <si>
    <t xml:space="preserve"> 4/ 5/25 </t>
  </si>
  <si>
    <t xml:space="preserve"> 6/ 5/25 </t>
  </si>
  <si>
    <t xml:space="preserve"> 7/ 5/25 </t>
  </si>
  <si>
    <t xml:space="preserve"> 8/ 5/25 </t>
  </si>
  <si>
    <t xml:space="preserve">11/ 5/25 </t>
  </si>
  <si>
    <t xml:space="preserve">12/ 5/25 </t>
  </si>
  <si>
    <t xml:space="preserve">13/ 5/25 </t>
  </si>
  <si>
    <t xml:space="preserve">14/ 5/25 </t>
  </si>
  <si>
    <t xml:space="preserve">15/ 5/25 </t>
  </si>
  <si>
    <t xml:space="preserve">16/ 5/25 </t>
  </si>
  <si>
    <t xml:space="preserve">17/ 5/25 </t>
  </si>
  <si>
    <t xml:space="preserve">19/ 5/25 </t>
  </si>
  <si>
    <t xml:space="preserve">22/ 5/25 </t>
  </si>
  <si>
    <t xml:space="preserve">23/ 5/25 </t>
  </si>
  <si>
    <t xml:space="preserve">24/ 5/25 </t>
  </si>
  <si>
    <t xml:space="preserve">25/ 5/25 </t>
  </si>
  <si>
    <t xml:space="preserve">26/ 5/25 </t>
  </si>
  <si>
    <t xml:space="preserve">27/ 5/25 </t>
  </si>
  <si>
    <t xml:space="preserve">28/ 5/25 </t>
  </si>
  <si>
    <t xml:space="preserve">29/ 5/25 </t>
  </si>
  <si>
    <t xml:space="preserve">30/ 5/25 </t>
  </si>
  <si>
    <t xml:space="preserve">31/ 5/25 </t>
  </si>
  <si>
    <t xml:space="preserve"> 1/ 6/25 </t>
  </si>
  <si>
    <t xml:space="preserve"> 2/ 6/25 </t>
  </si>
  <si>
    <t xml:space="preserve"> 3/ 6/25 </t>
  </si>
  <si>
    <t xml:space="preserve"> 4/ 6/25 </t>
  </si>
  <si>
    <t xml:space="preserve"> 5/ 6/25 </t>
  </si>
  <si>
    <t xml:space="preserve"> 6/ 6/25 </t>
  </si>
  <si>
    <t xml:space="preserve"> 7/ 6/25 </t>
  </si>
  <si>
    <t xml:space="preserve"> 9/ 6/25 </t>
  </si>
  <si>
    <t xml:space="preserve">11/ 6/25 </t>
  </si>
  <si>
    <t xml:space="preserve">13/ 6/25 </t>
  </si>
  <si>
    <t xml:space="preserve">14/ 6/25 </t>
  </si>
  <si>
    <t xml:space="preserve">15/ 6/25 </t>
  </si>
  <si>
    <t xml:space="preserve">16/ 6/25 </t>
  </si>
  <si>
    <t xml:space="preserve">17/ 6/25 </t>
  </si>
  <si>
    <t xml:space="preserve">18/ 6/25 </t>
  </si>
  <si>
    <t xml:space="preserve">19/ 6/25 </t>
  </si>
  <si>
    <t xml:space="preserve">20/ 6/25 </t>
  </si>
  <si>
    <t xml:space="preserve">21/ 6/25 </t>
  </si>
  <si>
    <t xml:space="preserve">22/ 6/25 </t>
  </si>
  <si>
    <t xml:space="preserve">24/ 6/25 </t>
  </si>
  <si>
    <t xml:space="preserve">25/ 6/25 </t>
  </si>
  <si>
    <t xml:space="preserve">26/ 6/25 </t>
  </si>
  <si>
    <t xml:space="preserve">27/ 6/25 </t>
  </si>
  <si>
    <t xml:space="preserve">28/ 6/25 </t>
  </si>
  <si>
    <t xml:space="preserve">30/ 6/25 </t>
  </si>
  <si>
    <t xml:space="preserve"> 1/ 7/25 </t>
  </si>
  <si>
    <t xml:space="preserve"> 2/ 7/25 </t>
  </si>
  <si>
    <t xml:space="preserve"> 4/ 7/25 </t>
  </si>
  <si>
    <t xml:space="preserve"> 6/ 7/25 </t>
  </si>
  <si>
    <t xml:space="preserve"> 7/ 7/25 </t>
  </si>
  <si>
    <t xml:space="preserve"> 8/ 7/25 </t>
  </si>
  <si>
    <t xml:space="preserve">10/ 7/25 </t>
  </si>
  <si>
    <t xml:space="preserve">11/ 7/25 </t>
  </si>
  <si>
    <t xml:space="preserve">12/ 7/25 </t>
  </si>
  <si>
    <t xml:space="preserve">13/ 7/25 </t>
  </si>
  <si>
    <t xml:space="preserve">14/ 7/25 </t>
  </si>
  <si>
    <t xml:space="preserve">15/ 7/25 </t>
  </si>
  <si>
    <t xml:space="preserve">16/ 7/25 </t>
  </si>
  <si>
    <t xml:space="preserve">17/ 7/25 </t>
  </si>
  <si>
    <t xml:space="preserve">18/ 7/25 </t>
  </si>
  <si>
    <t>27/08/2025</t>
  </si>
  <si>
    <t>28/08/2025</t>
  </si>
  <si>
    <t xml:space="preserve"> 31/08/2025</t>
  </si>
  <si>
    <t>id</t>
  </si>
  <si>
    <t>birth_date</t>
  </si>
  <si>
    <t>date</t>
  </si>
  <si>
    <t>mature_weight</t>
  </si>
  <si>
    <t>height_cm</t>
  </si>
  <si>
    <t>weight_kg</t>
  </si>
  <si>
    <t>mature_height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</si>
</sst>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26" x14ac:knownFonts="1">
    <font>
      <sz val="11"/>
      <color theme="1"/>
      <name val="Calibri"/>
      <family val="2"/>
      <scheme val="minor"/>
    </font>
    <font>
      <vertAlign val="superscript"/>
      <sz val="11"/>
      <color theme="1"/>
      <name val="Calibri"/>
      <family val="2"/>
      <scheme val="minor"/>
    </font>
    <font>
      <b/>
      <sz val="14"/>
      <color theme="1"/>
      <name val="Calibri"/>
      <family val="2"/>
      <scheme val="minor"/>
    </font>
    <font>
      <sz val="11"/>
      <color rgb="FF0070C0"/>
      <name val="Calibri"/>
      <family val="2"/>
      <scheme val="minor"/>
    </font>
    <font>
      <sz val="11"/>
      <color rgb="FFFF0000"/>
      <name val="Calibri"/>
      <family val="2"/>
      <scheme val="minor"/>
    </font>
    <font>
      <b/>
      <sz val="11"/>
      <color theme="1"/>
      <name val="Calibri"/>
      <family val="2"/>
      <scheme val="minor"/>
    </font>
    <font>
      <sz val="9"/>
      <color indexed="81"/>
      <name val="Tahoma"/>
      <family val="2"/>
    </font>
    <font>
      <sz val="11"/>
      <color theme="0"/>
      <name val="Calibri"/>
      <family val="2"/>
      <scheme val="minor"/>
    </font>
    <font>
      <b/>
      <sz val="16"/>
      <color theme="1"/>
      <name val="Calibri"/>
      <family val="2"/>
      <scheme val="minor"/>
    </font>
    <font>
      <sz val="12"/>
      <color theme="1"/>
      <name val="Calibri"/>
      <family val="2"/>
      <scheme val="minor"/>
    </font>
    <font>
      <b/>
      <sz val="21"/>
      <color theme="1"/>
      <name val="Calibri"/>
      <family val="2"/>
      <scheme val="minor"/>
    </font>
    <font>
      <b/>
      <sz val="12"/>
      <color theme="1"/>
      <name val="Calibri"/>
      <family val="2"/>
      <scheme val="minor"/>
    </font>
    <font>
      <b/>
      <sz val="9"/>
      <color indexed="81"/>
      <name val="Tahoma"/>
      <family val="2"/>
    </font>
    <font>
      <sz val="12"/>
      <color theme="1"/>
      <name val="Arial"/>
      <family val="2"/>
    </font>
    <font>
      <sz val="26"/>
      <color theme="0"/>
      <name val="Arial"/>
      <family val="2"/>
    </font>
    <font>
      <sz val="11"/>
      <color theme="1"/>
      <name val="Arial"/>
      <family val="2"/>
    </font>
    <font>
      <sz val="10"/>
      <color theme="1"/>
      <name val="Arial"/>
      <family val="2"/>
    </font>
    <font>
      <u/>
      <sz val="10"/>
      <color indexed="12"/>
      <name val="Arial"/>
      <family val="2"/>
    </font>
    <font>
      <u/>
      <sz val="10"/>
      <color indexed="12"/>
      <name val="Arial"/>
      <family val="2"/>
    </font>
    <font>
      <b/>
      <sz val="12"/>
      <color theme="0"/>
      <name val="Arial"/>
      <family val="2"/>
    </font>
    <font>
      <b/>
      <sz val="10"/>
      <color theme="1"/>
      <name val="Arial"/>
      <family val="2"/>
    </font>
    <font>
      <b/>
      <sz val="12"/>
      <color theme="1"/>
      <name val="Arial"/>
      <family val="2"/>
    </font>
    <font>
      <i/>
      <sz val="12"/>
      <color theme="1"/>
      <name val="Arial"/>
      <family val="2"/>
    </font>
    <font>
      <sz val="13"/>
      <color rgb="FF0000FF"/>
      <name val="Arial"/>
      <family val="2"/>
    </font>
    <font>
      <sz val="13"/>
      <color rgb="FF000000"/>
      <name val="Arial"/>
      <family val="2"/>
    </font>
    <font>
      <sz val="10"/>
      <color rgb="FF000000"/>
      <name val="Tahoma"/>
      <family val="2"/>
    </font>
  </fonts>
  <fills count="8">
    <fill>
      <patternFill patternType="none"/>
    </fill>
    <fill>
      <patternFill patternType="gray125"/>
    </fill>
    <fill>
      <patternFill patternType="solid">
        <fgColor theme="4" tint="0.79998168889431442"/>
        <bgColor indexed="64"/>
      </patternFill>
    </fill>
    <fill>
      <patternFill patternType="solid">
        <fgColor theme="4" tint="0.39997558519241921"/>
        <bgColor indexed="64"/>
      </patternFill>
    </fill>
    <fill>
      <patternFill patternType="solid">
        <fgColor theme="4" tint="-0.499984740745262"/>
        <bgColor indexed="64"/>
      </patternFill>
    </fill>
    <fill>
      <patternFill patternType="solid">
        <fgColor theme="0" tint="-0.14999847407452621"/>
        <bgColor indexed="64"/>
      </patternFill>
    </fill>
    <fill>
      <patternFill patternType="solid">
        <fgColor rgb="FFFFFFFF"/>
        <bgColor indexed="8"/>
      </patternFill>
    </fill>
    <fill>
      <patternFill patternType="solid">
        <fgColor rgb="FFFBFDFB"/>
        <bgColor indexed="8"/>
      </patternFill>
    </fill>
  </fills>
  <borders count="20">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0" fontId="9" fillId="0" borderId="0"/>
    <xf numFmtId="0" fontId="17" fillId="0" borderId="0" applyNumberFormat="0" applyFill="0" applyBorder="0" applyAlignment="0" applyProtection="0">
      <alignment vertical="top"/>
      <protection locked="0"/>
    </xf>
  </cellStyleXfs>
  <cellXfs count="91">
    <xf numFmtId="0" fontId="0" fillId="0" borderId="0" xfId="0"/>
    <xf numFmtId="164" fontId="0" fillId="0" borderId="0" xfId="0" applyNumberFormat="1"/>
    <xf numFmtId="1" fontId="0" fillId="0" borderId="0" xfId="0" applyNumberFormat="1"/>
    <xf numFmtId="2"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2" borderId="7" xfId="0" applyFill="1" applyBorder="1"/>
    <xf numFmtId="0" fontId="0" fillId="2" borderId="8" xfId="0" applyFill="1" applyBorder="1"/>
    <xf numFmtId="0" fontId="0" fillId="3" borderId="7" xfId="0" applyFill="1" applyBorder="1"/>
    <xf numFmtId="0" fontId="0" fillId="3" borderId="8" xfId="0" applyFill="1" applyBorder="1"/>
    <xf numFmtId="0" fontId="2" fillId="2" borderId="6" xfId="0" applyFont="1" applyFill="1" applyBorder="1" applyAlignment="1">
      <alignment vertical="center"/>
    </xf>
    <xf numFmtId="0" fontId="2" fillId="3" borderId="6" xfId="0" applyFont="1" applyFill="1" applyBorder="1" applyAlignment="1">
      <alignment vertical="center"/>
    </xf>
    <xf numFmtId="0" fontId="5" fillId="0" borderId="0" xfId="0" applyFont="1" applyAlignment="1">
      <alignment horizontal="center"/>
    </xf>
    <xf numFmtId="0" fontId="0" fillId="0" borderId="0" xfId="0" applyAlignment="1">
      <alignment horizontal="center"/>
    </xf>
    <xf numFmtId="164" fontId="0" fillId="0" borderId="0" xfId="0" applyNumberFormat="1" applyAlignment="1">
      <alignment horizontal="center"/>
    </xf>
    <xf numFmtId="0" fontId="0" fillId="0" borderId="0" xfId="0" applyAlignment="1">
      <alignment horizontal="right"/>
    </xf>
    <xf numFmtId="165" fontId="0" fillId="0" borderId="0" xfId="0" applyNumberFormat="1"/>
    <xf numFmtId="0" fontId="7" fillId="0" borderId="2" xfId="0" applyFont="1" applyBorder="1"/>
    <xf numFmtId="0" fontId="7" fillId="0" borderId="5" xfId="0" applyFont="1" applyBorder="1"/>
    <xf numFmtId="0" fontId="7" fillId="0" borderId="0" xfId="0" applyFont="1" applyAlignment="1">
      <alignment horizontal="center"/>
    </xf>
    <xf numFmtId="0" fontId="3" fillId="0" borderId="0" xfId="0" applyFont="1" applyAlignment="1" applyProtection="1">
      <alignment horizontal="center"/>
      <protection locked="0"/>
    </xf>
    <xf numFmtId="0" fontId="3" fillId="0" borderId="4" xfId="0" applyFont="1" applyBorder="1" applyAlignment="1" applyProtection="1">
      <alignment horizontal="center"/>
      <protection locked="0"/>
    </xf>
    <xf numFmtId="0" fontId="4" fillId="0" borderId="1" xfId="0" applyFont="1" applyBorder="1" applyAlignment="1">
      <alignment horizontal="left" indent="1"/>
    </xf>
    <xf numFmtId="0" fontId="0" fillId="0" borderId="1" xfId="0" applyBorder="1" applyAlignment="1">
      <alignment horizontal="center"/>
    </xf>
    <xf numFmtId="1" fontId="0" fillId="0" borderId="0" xfId="0" applyNumberFormat="1" applyAlignment="1">
      <alignment horizontal="center"/>
    </xf>
    <xf numFmtId="2" fontId="0" fillId="0" borderId="0" xfId="0" applyNumberFormat="1" applyAlignment="1">
      <alignment horizontal="center"/>
    </xf>
    <xf numFmtId="164" fontId="0" fillId="0" borderId="2" xfId="0" applyNumberFormat="1" applyBorder="1" applyAlignment="1">
      <alignment horizontal="center"/>
    </xf>
    <xf numFmtId="0" fontId="0" fillId="0" borderId="3" xfId="0" applyBorder="1" applyAlignment="1">
      <alignment horizontal="center"/>
    </xf>
    <xf numFmtId="164" fontId="0" fillId="0" borderId="4" xfId="0" applyNumberFormat="1" applyBorder="1" applyAlignment="1">
      <alignment horizontal="center"/>
    </xf>
    <xf numFmtId="1" fontId="0" fillId="0" borderId="4" xfId="0" applyNumberFormat="1" applyBorder="1" applyAlignment="1">
      <alignment horizontal="center"/>
    </xf>
    <xf numFmtId="2" fontId="0" fillId="0" borderId="4" xfId="0" applyNumberFormat="1" applyBorder="1" applyAlignment="1">
      <alignment horizontal="center"/>
    </xf>
    <xf numFmtId="164" fontId="0" fillId="0" borderId="5" xfId="0" applyNumberFormat="1" applyBorder="1" applyAlignment="1">
      <alignment horizontal="center"/>
    </xf>
    <xf numFmtId="0" fontId="5" fillId="2" borderId="9" xfId="0" applyFont="1" applyFill="1" applyBorder="1" applyAlignment="1">
      <alignment horizontal="center"/>
    </xf>
    <xf numFmtId="0" fontId="5" fillId="2" borderId="10" xfId="0" applyFont="1" applyFill="1" applyBorder="1" applyAlignment="1">
      <alignment horizontal="center"/>
    </xf>
    <xf numFmtId="0" fontId="5" fillId="2" borderId="11" xfId="0" applyFont="1" applyFill="1" applyBorder="1" applyAlignment="1">
      <alignment horizontal="center"/>
    </xf>
    <xf numFmtId="1" fontId="3" fillId="0" borderId="0" xfId="0" applyNumberFormat="1" applyFont="1" applyAlignment="1" applyProtection="1">
      <alignment horizontal="center"/>
      <protection locked="0"/>
    </xf>
    <xf numFmtId="1" fontId="0" fillId="0" borderId="2" xfId="0" applyNumberFormat="1" applyBorder="1" applyAlignment="1">
      <alignment horizontal="center"/>
    </xf>
    <xf numFmtId="1" fontId="0" fillId="0" borderId="4" xfId="0" applyNumberFormat="1" applyBorder="1"/>
    <xf numFmtId="1" fontId="3" fillId="0" borderId="0" xfId="0" applyNumberFormat="1" applyFont="1" applyAlignment="1">
      <alignment horizontal="center"/>
    </xf>
    <xf numFmtId="0" fontId="0" fillId="0" borderId="1" xfId="0" applyBorder="1" applyAlignment="1">
      <alignment horizontal="left" indent="1"/>
    </xf>
    <xf numFmtId="0" fontId="13" fillId="0" borderId="0" xfId="1" applyFont="1" applyAlignment="1">
      <alignment vertical="center"/>
    </xf>
    <xf numFmtId="0" fontId="3" fillId="0" borderId="0" xfId="0" applyFont="1" applyProtection="1">
      <protection locked="0"/>
    </xf>
    <xf numFmtId="0" fontId="23" fillId="6" borderId="0" xfId="0" applyFont="1" applyFill="1" applyAlignment="1">
      <alignment horizontal="right" vertical="top" wrapText="1"/>
    </xf>
    <xf numFmtId="0" fontId="24" fillId="6" borderId="0" xfId="0" applyFont="1" applyFill="1" applyAlignment="1">
      <alignment horizontal="left" vertical="top" wrapText="1"/>
    </xf>
    <xf numFmtId="0" fontId="23" fillId="7" borderId="0" xfId="0" applyFont="1" applyFill="1" applyAlignment="1">
      <alignment horizontal="right" vertical="top" wrapText="1"/>
    </xf>
    <xf numFmtId="0" fontId="24" fillId="7" borderId="0" xfId="0" applyFont="1" applyFill="1" applyAlignment="1">
      <alignment horizontal="left" vertical="top" wrapText="1"/>
    </xf>
    <xf numFmtId="14" fontId="24" fillId="6" borderId="0" xfId="0" applyNumberFormat="1" applyFont="1" applyFill="1" applyAlignment="1">
      <alignment horizontal="right" vertical="top" wrapText="1"/>
    </xf>
    <xf numFmtId="14" fontId="24" fillId="7" borderId="0" xfId="0" applyNumberFormat="1" applyFont="1" applyFill="1" applyAlignment="1">
      <alignment horizontal="right" vertical="top" wrapText="1"/>
    </xf>
    <xf numFmtId="164" fontId="25" fillId="6" borderId="0" xfId="0" applyNumberFormat="1" applyFont="1" applyFill="1" applyAlignment="1">
      <alignment horizontal="left" vertical="top" wrapText="1"/>
    </xf>
    <xf numFmtId="14" fontId="24" fillId="6" borderId="0" xfId="0" quotePrefix="1" applyNumberFormat="1" applyFont="1" applyFill="1" applyAlignment="1">
      <alignment horizontal="right" vertical="top" wrapText="1"/>
    </xf>
    <xf numFmtId="14" fontId="24" fillId="7" borderId="0" xfId="0" quotePrefix="1" applyNumberFormat="1" applyFont="1" applyFill="1" applyAlignment="1">
      <alignment horizontal="right" vertical="top" wrapText="1"/>
    </xf>
    <xf numFmtId="0" fontId="16" fillId="0" borderId="15" xfId="1" applyFont="1" applyBorder="1" applyAlignment="1">
      <alignment horizontal="left" vertical="top" wrapText="1" indent="1"/>
    </xf>
    <xf numFmtId="0" fontId="16" fillId="0" borderId="0" xfId="1" applyFont="1" applyAlignment="1">
      <alignment horizontal="left" vertical="top" wrapText="1" indent="1"/>
    </xf>
    <xf numFmtId="0" fontId="16" fillId="0" borderId="16" xfId="1" applyFont="1" applyBorder="1" applyAlignment="1">
      <alignment horizontal="left" vertical="top" wrapText="1" indent="1"/>
    </xf>
    <xf numFmtId="0" fontId="21" fillId="5" borderId="12" xfId="1" applyFont="1" applyFill="1" applyBorder="1" applyAlignment="1">
      <alignment horizontal="left" vertical="center"/>
    </xf>
    <xf numFmtId="0" fontId="21" fillId="5" borderId="13" xfId="1" applyFont="1" applyFill="1" applyBorder="1" applyAlignment="1">
      <alignment horizontal="left" vertical="center"/>
    </xf>
    <xf numFmtId="0" fontId="21" fillId="5" borderId="14" xfId="1" applyFont="1" applyFill="1" applyBorder="1" applyAlignment="1">
      <alignment horizontal="left" vertical="center"/>
    </xf>
    <xf numFmtId="0" fontId="16" fillId="0" borderId="12" xfId="1" applyFont="1" applyBorder="1" applyAlignment="1">
      <alignment horizontal="left" vertical="top" wrapText="1" indent="1"/>
    </xf>
    <xf numFmtId="0" fontId="16" fillId="0" borderId="13" xfId="1" applyFont="1" applyBorder="1" applyAlignment="1">
      <alignment horizontal="left" vertical="top" wrapText="1" indent="1"/>
    </xf>
    <xf numFmtId="0" fontId="16" fillId="0" borderId="14" xfId="1" applyFont="1" applyBorder="1" applyAlignment="1">
      <alignment horizontal="left" vertical="top" wrapText="1" indent="1"/>
    </xf>
    <xf numFmtId="0" fontId="21" fillId="5" borderId="12" xfId="1" applyFont="1" applyFill="1" applyBorder="1" applyAlignment="1">
      <alignment horizontal="left" wrapText="1"/>
    </xf>
    <xf numFmtId="0" fontId="21" fillId="5" borderId="13" xfId="1" applyFont="1" applyFill="1" applyBorder="1" applyAlignment="1">
      <alignment horizontal="left" wrapText="1"/>
    </xf>
    <xf numFmtId="0" fontId="21" fillId="5" borderId="14" xfId="1" applyFont="1" applyFill="1" applyBorder="1" applyAlignment="1">
      <alignment horizontal="left" wrapText="1"/>
    </xf>
    <xf numFmtId="0" fontId="22" fillId="5" borderId="17" xfId="1" applyFont="1" applyFill="1" applyBorder="1" applyAlignment="1">
      <alignment horizontal="left" vertical="center" wrapText="1"/>
    </xf>
    <xf numFmtId="0" fontId="22" fillId="5" borderId="18" xfId="1" applyFont="1" applyFill="1" applyBorder="1" applyAlignment="1">
      <alignment horizontal="left" vertical="center" wrapText="1"/>
    </xf>
    <xf numFmtId="0" fontId="22" fillId="5" borderId="19" xfId="1" applyFont="1" applyFill="1" applyBorder="1" applyAlignment="1">
      <alignment horizontal="left" vertical="center" wrapText="1"/>
    </xf>
    <xf numFmtId="0" fontId="20" fillId="5" borderId="15" xfId="1" applyFont="1" applyFill="1" applyBorder="1" applyAlignment="1">
      <alignment horizontal="left" vertical="top" wrapText="1"/>
    </xf>
    <xf numFmtId="0" fontId="20" fillId="5" borderId="0" xfId="1" applyFont="1" applyFill="1" applyAlignment="1">
      <alignment horizontal="left" vertical="top" wrapText="1"/>
    </xf>
    <xf numFmtId="0" fontId="20" fillId="5" borderId="16" xfId="1" applyFont="1" applyFill="1" applyBorder="1" applyAlignment="1">
      <alignment horizontal="left" vertical="top" wrapText="1"/>
    </xf>
    <xf numFmtId="0" fontId="16" fillId="0" borderId="15" xfId="1" applyFont="1" applyBorder="1" applyAlignment="1">
      <alignment horizontal="left" vertical="top" wrapText="1" indent="2"/>
    </xf>
    <xf numFmtId="0" fontId="16" fillId="0" borderId="0" xfId="1" applyFont="1" applyAlignment="1">
      <alignment horizontal="left" vertical="top" wrapText="1" indent="2"/>
    </xf>
    <xf numFmtId="0" fontId="16" fillId="0" borderId="16" xfId="1" applyFont="1" applyBorder="1" applyAlignment="1">
      <alignment horizontal="left" vertical="top" wrapText="1" indent="2"/>
    </xf>
    <xf numFmtId="0" fontId="19" fillId="4" borderId="12" xfId="1" applyFont="1" applyFill="1" applyBorder="1" applyAlignment="1">
      <alignment horizontal="left" vertical="top" wrapText="1"/>
    </xf>
    <xf numFmtId="0" fontId="19" fillId="4" borderId="13" xfId="1" applyFont="1" applyFill="1" applyBorder="1" applyAlignment="1">
      <alignment horizontal="left" vertical="top" wrapText="1"/>
    </xf>
    <xf numFmtId="0" fontId="19" fillId="4" borderId="14" xfId="1" applyFont="1" applyFill="1" applyBorder="1" applyAlignment="1">
      <alignment horizontal="left" vertical="top" wrapText="1"/>
    </xf>
    <xf numFmtId="0" fontId="15" fillId="0" borderId="0" xfId="1" applyFont="1" applyAlignment="1">
      <alignment horizontal="left" vertical="center" wrapText="1"/>
    </xf>
    <xf numFmtId="0" fontId="16" fillId="0" borderId="0" xfId="1" applyFont="1" applyAlignment="1">
      <alignment horizontal="left" vertical="center"/>
    </xf>
    <xf numFmtId="0" fontId="15" fillId="0" borderId="0" xfId="1" applyFont="1" applyAlignment="1">
      <alignment horizontal="left" vertical="center"/>
    </xf>
    <xf numFmtId="14" fontId="16" fillId="0" borderId="0" xfId="1" applyNumberFormat="1" applyFont="1" applyAlignment="1">
      <alignment horizontal="left" vertical="center"/>
    </xf>
    <xf numFmtId="0" fontId="18" fillId="0" borderId="0" xfId="2" applyFont="1" applyAlignment="1" applyProtection="1">
      <alignment horizontal="left" vertical="center"/>
    </xf>
    <xf numFmtId="0" fontId="15" fillId="0" borderId="0" xfId="1" applyFont="1" applyAlignment="1">
      <alignment horizontal="center" vertical="center"/>
    </xf>
    <xf numFmtId="0" fontId="13" fillId="0" borderId="0" xfId="1" applyFont="1" applyAlignment="1">
      <alignment horizontal="center" vertical="center"/>
    </xf>
    <xf numFmtId="0" fontId="14" fillId="4" borderId="0" xfId="1" applyFont="1" applyFill="1" applyAlignment="1">
      <alignment horizontal="center" vertical="center"/>
    </xf>
    <xf numFmtId="0" fontId="10" fillId="0" borderId="0" xfId="0" applyFont="1" applyAlignment="1">
      <alignment horizontal="center" wrapText="1"/>
    </xf>
    <xf numFmtId="0" fontId="10" fillId="0" borderId="0" xfId="0" applyFont="1" applyAlignment="1">
      <alignment horizontal="center"/>
    </xf>
    <xf numFmtId="0" fontId="11" fillId="0" borderId="0" xfId="0" applyFont="1" applyAlignment="1">
      <alignment horizontal="center"/>
    </xf>
    <xf numFmtId="0" fontId="8" fillId="0" borderId="0" xfId="0" applyFont="1" applyAlignment="1">
      <alignment horizontal="center"/>
    </xf>
    <xf numFmtId="0" fontId="9" fillId="0" borderId="0" xfId="0" applyFont="1" applyAlignment="1">
      <alignment horizontal="center"/>
    </xf>
  </cellXfs>
  <cellStyles count="3">
    <cellStyle name="Hyperlink 2" xfId="2" xr:uid="{00000000-0005-0000-0000-000000000000}"/>
    <cellStyle name="Normal 2" xfId="1" xr:uid="{00000000-0005-0000-0000-000002000000}"/>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4.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hartsheet" Target="chartsheets/sheet3.xml"/><Relationship Id="rId11" Type="http://schemas.openxmlformats.org/officeDocument/2006/relationships/calcChain" Target="calcChain.xml"/><Relationship Id="rId5" Type="http://schemas.openxmlformats.org/officeDocument/2006/relationships/chartsheet" Target="chartsheets/sheet2.xml"/><Relationship Id="rId10" Type="http://schemas.openxmlformats.org/officeDocument/2006/relationships/sharedStrings" Target="sharedStrings.xml"/><Relationship Id="rId4" Type="http://schemas.openxmlformats.org/officeDocument/2006/relationships/chartsheet" Target="chartsheets/sheet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400"/>
            </a:pPr>
            <a:r>
              <a:rPr lang="en-US" sz="2400"/>
              <a:t>Customized</a:t>
            </a:r>
            <a:r>
              <a:rPr lang="en-US" sz="2400" baseline="0"/>
              <a:t> Heifer Growth Chart</a:t>
            </a:r>
          </a:p>
          <a:p>
            <a:pPr>
              <a:defRPr sz="2400"/>
            </a:pPr>
            <a:r>
              <a:rPr lang="en-US" sz="1800" baseline="0"/>
              <a:t>Based on Mature BW and Goal for Age at Calving</a:t>
            </a:r>
          </a:p>
        </c:rich>
      </c:tx>
      <c:layout>
        <c:manualLayout>
          <c:xMode val="edge"/>
          <c:yMode val="edge"/>
          <c:x val="0.30579513354462684"/>
          <c:y val="6.0574417181893719E-3"/>
        </c:manualLayout>
      </c:layout>
      <c:overlay val="0"/>
    </c:title>
    <c:autoTitleDeleted val="0"/>
    <c:plotArea>
      <c:layout>
        <c:manualLayout>
          <c:layoutTarget val="inner"/>
          <c:xMode val="edge"/>
          <c:yMode val="edge"/>
          <c:x val="0.13638177407677102"/>
          <c:y val="0.1297453139885249"/>
          <c:w val="0.83414584696588756"/>
          <c:h val="0.73837066582890609"/>
        </c:manualLayout>
      </c:layout>
      <c:scatterChart>
        <c:scatterStyle val="lineMarker"/>
        <c:varyColors val="0"/>
        <c:ser>
          <c:idx val="1"/>
          <c:order val="0"/>
          <c:tx>
            <c:v>Your Heifers</c:v>
          </c:tx>
          <c:spPr>
            <a:ln>
              <a:noFill/>
            </a:ln>
          </c:spPr>
          <c:xVal>
            <c:numRef>
              <c:f>'Input Heifer Data'!$H$2:$H$214</c:f>
              <c:numCache>
                <c:formatCode>0.0</c:formatCode>
                <c:ptCount val="213"/>
                <c:pt idx="0">
                  <c:v>8.2867477803354159</c:v>
                </c:pt>
                <c:pt idx="1">
                  <c:v>8.2538638605721797</c:v>
                </c:pt>
                <c:pt idx="2">
                  <c:v>8.1552121012824728</c:v>
                </c:pt>
                <c:pt idx="3">
                  <c:v>8.1223281815192365</c:v>
                </c:pt>
                <c:pt idx="4">
                  <c:v>8.1223281815192365</c:v>
                </c:pt>
                <c:pt idx="5">
                  <c:v>8.0894442617560021</c:v>
                </c:pt>
                <c:pt idx="6">
                  <c:v>8.0894442617560021</c:v>
                </c:pt>
                <c:pt idx="7">
                  <c:v>8.0894442617560021</c:v>
                </c:pt>
                <c:pt idx="8">
                  <c:v>8.0894442617560021</c:v>
                </c:pt>
                <c:pt idx="9">
                  <c:v>8.0565603419927658</c:v>
                </c:pt>
                <c:pt idx="10">
                  <c:v>8.0565603419927658</c:v>
                </c:pt>
                <c:pt idx="11">
                  <c:v>8.0565603419927658</c:v>
                </c:pt>
                <c:pt idx="12">
                  <c:v>8.0236764222295296</c:v>
                </c:pt>
                <c:pt idx="13">
                  <c:v>7.9907925024662942</c:v>
                </c:pt>
                <c:pt idx="14">
                  <c:v>7.957908582703058</c:v>
                </c:pt>
                <c:pt idx="15">
                  <c:v>7.9250246629398227</c:v>
                </c:pt>
                <c:pt idx="16">
                  <c:v>7.9250246629398227</c:v>
                </c:pt>
                <c:pt idx="17">
                  <c:v>7.9250246629398227</c:v>
                </c:pt>
                <c:pt idx="18">
                  <c:v>7.9250246629398227</c:v>
                </c:pt>
                <c:pt idx="19">
                  <c:v>7.8921407431765864</c:v>
                </c:pt>
                <c:pt idx="20">
                  <c:v>7.8921407431765864</c:v>
                </c:pt>
                <c:pt idx="21">
                  <c:v>7.8921407431765864</c:v>
                </c:pt>
                <c:pt idx="22">
                  <c:v>7.7934889838868795</c:v>
                </c:pt>
                <c:pt idx="23">
                  <c:v>7.7934889838868795</c:v>
                </c:pt>
                <c:pt idx="24">
                  <c:v>7.7934889838868795</c:v>
                </c:pt>
                <c:pt idx="25">
                  <c:v>7.7934889838868795</c:v>
                </c:pt>
                <c:pt idx="26">
                  <c:v>7.7606050641236433</c:v>
                </c:pt>
                <c:pt idx="27">
                  <c:v>7.7606050641236433</c:v>
                </c:pt>
                <c:pt idx="28">
                  <c:v>7.7606050641236433</c:v>
                </c:pt>
                <c:pt idx="29">
                  <c:v>7.7606050641236433</c:v>
                </c:pt>
                <c:pt idx="30">
                  <c:v>7.7606050641236433</c:v>
                </c:pt>
                <c:pt idx="31">
                  <c:v>7.7277211443604079</c:v>
                </c:pt>
                <c:pt idx="32">
                  <c:v>7.7277211443604079</c:v>
                </c:pt>
                <c:pt idx="33">
                  <c:v>7.6948372245971717</c:v>
                </c:pt>
                <c:pt idx="34">
                  <c:v>7.6948372245971717</c:v>
                </c:pt>
                <c:pt idx="35">
                  <c:v>7.6948372245971717</c:v>
                </c:pt>
                <c:pt idx="36">
                  <c:v>7.6619533048339363</c:v>
                </c:pt>
                <c:pt idx="37">
                  <c:v>7.6619533048339363</c:v>
                </c:pt>
                <c:pt idx="38">
                  <c:v>7.6619533048339363</c:v>
                </c:pt>
                <c:pt idx="39">
                  <c:v>7.5961854653074647</c:v>
                </c:pt>
                <c:pt idx="40">
                  <c:v>7.5961854653074647</c:v>
                </c:pt>
                <c:pt idx="41">
                  <c:v>7.5961854653074647</c:v>
                </c:pt>
                <c:pt idx="42">
                  <c:v>7.5961854653074647</c:v>
                </c:pt>
                <c:pt idx="43">
                  <c:v>7.5633015455442285</c:v>
                </c:pt>
                <c:pt idx="44">
                  <c:v>7.5633015455442285</c:v>
                </c:pt>
                <c:pt idx="45">
                  <c:v>7.5633015455442285</c:v>
                </c:pt>
                <c:pt idx="46">
                  <c:v>7.5633015455442285</c:v>
                </c:pt>
                <c:pt idx="47">
                  <c:v>7.5304176257809932</c:v>
                </c:pt>
                <c:pt idx="48">
                  <c:v>7.4975337060177569</c:v>
                </c:pt>
                <c:pt idx="49">
                  <c:v>7.4975337060177569</c:v>
                </c:pt>
                <c:pt idx="50">
                  <c:v>7.4975337060177569</c:v>
                </c:pt>
                <c:pt idx="51">
                  <c:v>7.4646497862545216</c:v>
                </c:pt>
                <c:pt idx="52">
                  <c:v>7.4646497862545216</c:v>
                </c:pt>
                <c:pt idx="53">
                  <c:v>7.4317658664912853</c:v>
                </c:pt>
                <c:pt idx="54">
                  <c:v>7.39888194672805</c:v>
                </c:pt>
                <c:pt idx="55">
                  <c:v>7.39888194672805</c:v>
                </c:pt>
                <c:pt idx="56">
                  <c:v>7.39888194672805</c:v>
                </c:pt>
                <c:pt idx="57">
                  <c:v>7.39888194672805</c:v>
                </c:pt>
                <c:pt idx="58">
                  <c:v>7.39888194672805</c:v>
                </c:pt>
                <c:pt idx="59">
                  <c:v>7.3331141072015784</c:v>
                </c:pt>
                <c:pt idx="60">
                  <c:v>7.3331141072015784</c:v>
                </c:pt>
                <c:pt idx="61">
                  <c:v>7.2673462676751068</c:v>
                </c:pt>
                <c:pt idx="62">
                  <c:v>7.2344623479118715</c:v>
                </c:pt>
                <c:pt idx="63">
                  <c:v>6.4452482735942125</c:v>
                </c:pt>
                <c:pt idx="64">
                  <c:v>13.383755343636961</c:v>
                </c:pt>
                <c:pt idx="65">
                  <c:v>13.317987504110491</c:v>
                </c:pt>
                <c:pt idx="66">
                  <c:v>13.317987504110491</c:v>
                </c:pt>
                <c:pt idx="67">
                  <c:v>13.285103584347254</c:v>
                </c:pt>
                <c:pt idx="68">
                  <c:v>13.285103584347254</c:v>
                </c:pt>
                <c:pt idx="69">
                  <c:v>12.627425189082539</c:v>
                </c:pt>
                <c:pt idx="70">
                  <c:v>12.495889510029595</c:v>
                </c:pt>
                <c:pt idx="71">
                  <c:v>12.463005590266359</c:v>
                </c:pt>
                <c:pt idx="72">
                  <c:v>12.430121670503125</c:v>
                </c:pt>
                <c:pt idx="73">
                  <c:v>12.430121670503125</c:v>
                </c:pt>
                <c:pt idx="74">
                  <c:v>12.397237750739889</c:v>
                </c:pt>
                <c:pt idx="75">
                  <c:v>12.397237750739889</c:v>
                </c:pt>
                <c:pt idx="76">
                  <c:v>12.364353830976652</c:v>
                </c:pt>
                <c:pt idx="77">
                  <c:v>12.364353830976652</c:v>
                </c:pt>
                <c:pt idx="78">
                  <c:v>12.331469911213416</c:v>
                </c:pt>
                <c:pt idx="79">
                  <c:v>12.331469911213416</c:v>
                </c:pt>
                <c:pt idx="80">
                  <c:v>12.298585991450182</c:v>
                </c:pt>
                <c:pt idx="81">
                  <c:v>12.298585991450182</c:v>
                </c:pt>
                <c:pt idx="82">
                  <c:v>12.298585991450182</c:v>
                </c:pt>
                <c:pt idx="83">
                  <c:v>12.298585991450182</c:v>
                </c:pt>
                <c:pt idx="84">
                  <c:v>12.265702071686945</c:v>
                </c:pt>
                <c:pt idx="85">
                  <c:v>12.265702071686945</c:v>
                </c:pt>
                <c:pt idx="86">
                  <c:v>12.265702071686945</c:v>
                </c:pt>
                <c:pt idx="87">
                  <c:v>12.232818151923709</c:v>
                </c:pt>
                <c:pt idx="88">
                  <c:v>12.232818151923709</c:v>
                </c:pt>
                <c:pt idx="89">
                  <c:v>12.167050312397238</c:v>
                </c:pt>
                <c:pt idx="90">
                  <c:v>12.167050312397238</c:v>
                </c:pt>
                <c:pt idx="91">
                  <c:v>12.167050312397238</c:v>
                </c:pt>
                <c:pt idx="92">
                  <c:v>12.167050312397238</c:v>
                </c:pt>
                <c:pt idx="93">
                  <c:v>12.134166392634002</c:v>
                </c:pt>
                <c:pt idx="94">
                  <c:v>12.134166392634002</c:v>
                </c:pt>
                <c:pt idx="95">
                  <c:v>12.134166392634002</c:v>
                </c:pt>
                <c:pt idx="96">
                  <c:v>12.101282472870766</c:v>
                </c:pt>
                <c:pt idx="97">
                  <c:v>12.06839855310753</c:v>
                </c:pt>
                <c:pt idx="98">
                  <c:v>12.06839855310753</c:v>
                </c:pt>
                <c:pt idx="99">
                  <c:v>12.06839855310753</c:v>
                </c:pt>
                <c:pt idx="100">
                  <c:v>12.06839855310753</c:v>
                </c:pt>
                <c:pt idx="101">
                  <c:v>12.06839855310753</c:v>
                </c:pt>
                <c:pt idx="102">
                  <c:v>12.002630713581059</c:v>
                </c:pt>
                <c:pt idx="103">
                  <c:v>11.969746793817823</c:v>
                </c:pt>
                <c:pt idx="104">
                  <c:v>11.936862874054587</c:v>
                </c:pt>
                <c:pt idx="105">
                  <c:v>11.83821111476488</c:v>
                </c:pt>
                <c:pt idx="106">
                  <c:v>11.83821111476488</c:v>
                </c:pt>
                <c:pt idx="107">
                  <c:v>11.805327195001643</c:v>
                </c:pt>
                <c:pt idx="108">
                  <c:v>11.772443275238409</c:v>
                </c:pt>
                <c:pt idx="109">
                  <c:v>11.739559355475173</c:v>
                </c:pt>
                <c:pt idx="110">
                  <c:v>11.706675435711936</c:v>
                </c:pt>
                <c:pt idx="111">
                  <c:v>11.6737915159487</c:v>
                </c:pt>
                <c:pt idx="112">
                  <c:v>11.640907596185466</c:v>
                </c:pt>
                <c:pt idx="113">
                  <c:v>11.575139756658993</c:v>
                </c:pt>
                <c:pt idx="114">
                  <c:v>11.476487997369286</c:v>
                </c:pt>
                <c:pt idx="115">
                  <c:v>11.476487997369286</c:v>
                </c:pt>
                <c:pt idx="116">
                  <c:v>11.44360407760605</c:v>
                </c:pt>
                <c:pt idx="117">
                  <c:v>11.44360407760605</c:v>
                </c:pt>
                <c:pt idx="118">
                  <c:v>11.44360407760605</c:v>
                </c:pt>
                <c:pt idx="119">
                  <c:v>11.410720157842816</c:v>
                </c:pt>
                <c:pt idx="120">
                  <c:v>11.377836238079579</c:v>
                </c:pt>
                <c:pt idx="121">
                  <c:v>11.344952318316343</c:v>
                </c:pt>
                <c:pt idx="122">
                  <c:v>11.344952318316343</c:v>
                </c:pt>
                <c:pt idx="123">
                  <c:v>11.312068398553107</c:v>
                </c:pt>
                <c:pt idx="124">
                  <c:v>11.312068398553107</c:v>
                </c:pt>
                <c:pt idx="125">
                  <c:v>11.312068398553107</c:v>
                </c:pt>
                <c:pt idx="126">
                  <c:v>11.312068398553107</c:v>
                </c:pt>
                <c:pt idx="127">
                  <c:v>11.279184478789873</c:v>
                </c:pt>
                <c:pt idx="128">
                  <c:v>11.279184478789873</c:v>
                </c:pt>
                <c:pt idx="129">
                  <c:v>11.279184478789873</c:v>
                </c:pt>
                <c:pt idx="130">
                  <c:v>11.246300559026636</c:v>
                </c:pt>
                <c:pt idx="131">
                  <c:v>11.2134166392634</c:v>
                </c:pt>
                <c:pt idx="132">
                  <c:v>11.180532719500164</c:v>
                </c:pt>
                <c:pt idx="133">
                  <c:v>11.147648799736929</c:v>
                </c:pt>
                <c:pt idx="134">
                  <c:v>11.147648799736929</c:v>
                </c:pt>
                <c:pt idx="135">
                  <c:v>11.114764879973693</c:v>
                </c:pt>
                <c:pt idx="136">
                  <c:v>11.114764879973693</c:v>
                </c:pt>
                <c:pt idx="137">
                  <c:v>11.081880960210457</c:v>
                </c:pt>
                <c:pt idx="138">
                  <c:v>11.048997040447221</c:v>
                </c:pt>
                <c:pt idx="139">
                  <c:v>11.048997040447221</c:v>
                </c:pt>
                <c:pt idx="140">
                  <c:v>11.048997040447221</c:v>
                </c:pt>
                <c:pt idx="141">
                  <c:v>11.048997040447221</c:v>
                </c:pt>
                <c:pt idx="142">
                  <c:v>11.016113120683986</c:v>
                </c:pt>
                <c:pt idx="143">
                  <c:v>11.016113120683986</c:v>
                </c:pt>
                <c:pt idx="144">
                  <c:v>10.98322920092075</c:v>
                </c:pt>
                <c:pt idx="145">
                  <c:v>10.98322920092075</c:v>
                </c:pt>
                <c:pt idx="146">
                  <c:v>10.98322920092075</c:v>
                </c:pt>
                <c:pt idx="147">
                  <c:v>10.950345281157514</c:v>
                </c:pt>
                <c:pt idx="148">
                  <c:v>10.884577441631043</c:v>
                </c:pt>
                <c:pt idx="149">
                  <c:v>10.818809602104571</c:v>
                </c:pt>
                <c:pt idx="150">
                  <c:v>10.818809602104571</c:v>
                </c:pt>
                <c:pt idx="151">
                  <c:v>10.818809602104571</c:v>
                </c:pt>
                <c:pt idx="152">
                  <c:v>10.818809602104571</c:v>
                </c:pt>
                <c:pt idx="153">
                  <c:v>10.7530417625781</c:v>
                </c:pt>
                <c:pt idx="154">
                  <c:v>10.7530417625781</c:v>
                </c:pt>
                <c:pt idx="155">
                  <c:v>10.7530417625781</c:v>
                </c:pt>
                <c:pt idx="156">
                  <c:v>10.720157842814864</c:v>
                </c:pt>
                <c:pt idx="157">
                  <c:v>10.687273923051627</c:v>
                </c:pt>
                <c:pt idx="158">
                  <c:v>10.687273923051627</c:v>
                </c:pt>
                <c:pt idx="159">
                  <c:v>10.654390003288391</c:v>
                </c:pt>
                <c:pt idx="160">
                  <c:v>10.621506083525157</c:v>
                </c:pt>
                <c:pt idx="161">
                  <c:v>10.621506083525157</c:v>
                </c:pt>
                <c:pt idx="162">
                  <c:v>10.621506083525157</c:v>
                </c:pt>
                <c:pt idx="163">
                  <c:v>10.621506083525157</c:v>
                </c:pt>
                <c:pt idx="164">
                  <c:v>10.58862216376192</c:v>
                </c:pt>
                <c:pt idx="165">
                  <c:v>10.58862216376192</c:v>
                </c:pt>
                <c:pt idx="166">
                  <c:v>10.555738243998684</c:v>
                </c:pt>
                <c:pt idx="167">
                  <c:v>10.522854324235448</c:v>
                </c:pt>
                <c:pt idx="168">
                  <c:v>10.489970404472214</c:v>
                </c:pt>
                <c:pt idx="169">
                  <c:v>10.489970404472214</c:v>
                </c:pt>
                <c:pt idx="170">
                  <c:v>10.457086484708977</c:v>
                </c:pt>
                <c:pt idx="171">
                  <c:v>10.457086484708977</c:v>
                </c:pt>
                <c:pt idx="172">
                  <c:v>10.391318645182507</c:v>
                </c:pt>
                <c:pt idx="173">
                  <c:v>10.35843472541927</c:v>
                </c:pt>
                <c:pt idx="174">
                  <c:v>10.35843472541927</c:v>
                </c:pt>
                <c:pt idx="175">
                  <c:v>10.35843472541927</c:v>
                </c:pt>
                <c:pt idx="176">
                  <c:v>10.325550805656034</c:v>
                </c:pt>
                <c:pt idx="177">
                  <c:v>10.292666885892798</c:v>
                </c:pt>
                <c:pt idx="178">
                  <c:v>10.292666885892798</c:v>
                </c:pt>
                <c:pt idx="179">
                  <c:v>10.292666885892798</c:v>
                </c:pt>
                <c:pt idx="180">
                  <c:v>10.259782966129563</c:v>
                </c:pt>
                <c:pt idx="181">
                  <c:v>10.259782966129563</c:v>
                </c:pt>
                <c:pt idx="182">
                  <c:v>10.194015126603091</c:v>
                </c:pt>
                <c:pt idx="183">
                  <c:v>10.194015126603091</c:v>
                </c:pt>
                <c:pt idx="184">
                  <c:v>10.161131206839855</c:v>
                </c:pt>
                <c:pt idx="185">
                  <c:v>10.161131206839855</c:v>
                </c:pt>
                <c:pt idx="186">
                  <c:v>10.12824728707662</c:v>
                </c:pt>
                <c:pt idx="187">
                  <c:v>10.12824728707662</c:v>
                </c:pt>
                <c:pt idx="188">
                  <c:v>10.12824728707662</c:v>
                </c:pt>
                <c:pt idx="189">
                  <c:v>10.062479447550148</c:v>
                </c:pt>
                <c:pt idx="190">
                  <c:v>10.062479447550148</c:v>
                </c:pt>
                <c:pt idx="191">
                  <c:v>10.062479447550148</c:v>
                </c:pt>
                <c:pt idx="192">
                  <c:v>9.9967116080236771</c:v>
                </c:pt>
                <c:pt idx="193">
                  <c:v>9.9638276882604409</c:v>
                </c:pt>
                <c:pt idx="194">
                  <c:v>9.9638276882604409</c:v>
                </c:pt>
                <c:pt idx="195">
                  <c:v>9.9309437684972046</c:v>
                </c:pt>
                <c:pt idx="196">
                  <c:v>9.8651759289707339</c:v>
                </c:pt>
                <c:pt idx="197">
                  <c:v>9.8651759289707339</c:v>
                </c:pt>
                <c:pt idx="198">
                  <c:v>9.8322920092074977</c:v>
                </c:pt>
                <c:pt idx="199">
                  <c:v>9.8322920092074977</c:v>
                </c:pt>
                <c:pt idx="200">
                  <c:v>9.7994080894442614</c:v>
                </c:pt>
                <c:pt idx="201">
                  <c:v>9.7994080894442614</c:v>
                </c:pt>
                <c:pt idx="202">
                  <c:v>9.7665241696810252</c:v>
                </c:pt>
                <c:pt idx="203">
                  <c:v>9.7665241696810252</c:v>
                </c:pt>
                <c:pt idx="204">
                  <c:v>9.7336402499177908</c:v>
                </c:pt>
                <c:pt idx="205">
                  <c:v>9.7336402499177908</c:v>
                </c:pt>
                <c:pt idx="206">
                  <c:v>9.7336402499177908</c:v>
                </c:pt>
                <c:pt idx="207">
                  <c:v>9.7007563301545545</c:v>
                </c:pt>
                <c:pt idx="208">
                  <c:v>9.6678724103913183</c:v>
                </c:pt>
                <c:pt idx="209">
                  <c:v>9.6678724103913183</c:v>
                </c:pt>
                <c:pt idx="210">
                  <c:v>9.634988490628082</c:v>
                </c:pt>
                <c:pt idx="211">
                  <c:v>9.634988490628082</c:v>
                </c:pt>
                <c:pt idx="212">
                  <c:v>9.6021045708648476</c:v>
                </c:pt>
              </c:numCache>
            </c:numRef>
          </c:xVal>
          <c:yVal>
            <c:numRef>
              <c:f>'Input Heifer Data'!$D$2:$D$214</c:f>
              <c:numCache>
                <c:formatCode>General</c:formatCode>
                <c:ptCount val="213"/>
                <c:pt idx="0">
                  <c:v>289</c:v>
                </c:pt>
                <c:pt idx="1">
                  <c:v>281</c:v>
                </c:pt>
                <c:pt idx="2">
                  <c:v>287</c:v>
                </c:pt>
                <c:pt idx="3">
                  <c:v>249</c:v>
                </c:pt>
                <c:pt idx="4">
                  <c:v>286</c:v>
                </c:pt>
                <c:pt idx="5">
                  <c:v>232</c:v>
                </c:pt>
                <c:pt idx="6">
                  <c:v>291</c:v>
                </c:pt>
                <c:pt idx="7">
                  <c:v>267</c:v>
                </c:pt>
                <c:pt idx="8">
                  <c:v>267</c:v>
                </c:pt>
                <c:pt idx="9">
                  <c:v>314</c:v>
                </c:pt>
                <c:pt idx="10">
                  <c:v>306</c:v>
                </c:pt>
                <c:pt idx="11">
                  <c:v>290</c:v>
                </c:pt>
                <c:pt idx="12">
                  <c:v>252</c:v>
                </c:pt>
                <c:pt idx="13">
                  <c:v>234</c:v>
                </c:pt>
                <c:pt idx="14">
                  <c:v>320</c:v>
                </c:pt>
                <c:pt idx="15">
                  <c:v>260</c:v>
                </c:pt>
                <c:pt idx="16">
                  <c:v>288</c:v>
                </c:pt>
                <c:pt idx="17">
                  <c:v>252</c:v>
                </c:pt>
                <c:pt idx="18">
                  <c:v>298</c:v>
                </c:pt>
                <c:pt idx="19">
                  <c:v>297</c:v>
                </c:pt>
                <c:pt idx="20">
                  <c:v>263</c:v>
                </c:pt>
                <c:pt idx="21">
                  <c:v>282</c:v>
                </c:pt>
                <c:pt idx="22">
                  <c:v>257</c:v>
                </c:pt>
                <c:pt idx="23">
                  <c:v>303</c:v>
                </c:pt>
                <c:pt idx="24">
                  <c:v>282</c:v>
                </c:pt>
                <c:pt idx="25">
                  <c:v>293</c:v>
                </c:pt>
                <c:pt idx="26">
                  <c:v>269</c:v>
                </c:pt>
                <c:pt idx="27">
                  <c:v>284</c:v>
                </c:pt>
                <c:pt idx="28">
                  <c:v>248</c:v>
                </c:pt>
                <c:pt idx="29">
                  <c:v>309</c:v>
                </c:pt>
                <c:pt idx="30">
                  <c:v>227</c:v>
                </c:pt>
                <c:pt idx="31">
                  <c:v>273</c:v>
                </c:pt>
                <c:pt idx="32">
                  <c:v>271</c:v>
                </c:pt>
                <c:pt idx="33">
                  <c:v>273</c:v>
                </c:pt>
                <c:pt idx="34">
                  <c:v>271</c:v>
                </c:pt>
                <c:pt idx="35">
                  <c:v>228</c:v>
                </c:pt>
                <c:pt idx="36">
                  <c:v>246</c:v>
                </c:pt>
                <c:pt idx="37">
                  <c:v>263</c:v>
                </c:pt>
                <c:pt idx="38">
                  <c:v>273</c:v>
                </c:pt>
                <c:pt idx="39">
                  <c:v>297</c:v>
                </c:pt>
                <c:pt idx="40">
                  <c:v>279</c:v>
                </c:pt>
                <c:pt idx="41">
                  <c:v>241</c:v>
                </c:pt>
                <c:pt idx="42">
                  <c:v>273</c:v>
                </c:pt>
                <c:pt idx="43">
                  <c:v>241</c:v>
                </c:pt>
                <c:pt idx="44">
                  <c:v>294</c:v>
                </c:pt>
                <c:pt idx="45">
                  <c:v>250</c:v>
                </c:pt>
                <c:pt idx="46">
                  <c:v>275</c:v>
                </c:pt>
                <c:pt idx="47">
                  <c:v>301</c:v>
                </c:pt>
                <c:pt idx="48">
                  <c:v>228</c:v>
                </c:pt>
                <c:pt idx="49">
                  <c:v>304</c:v>
                </c:pt>
                <c:pt idx="50">
                  <c:v>259</c:v>
                </c:pt>
                <c:pt idx="51">
                  <c:v>266</c:v>
                </c:pt>
                <c:pt idx="52">
                  <c:v>285</c:v>
                </c:pt>
                <c:pt idx="53">
                  <c:v>270</c:v>
                </c:pt>
                <c:pt idx="54">
                  <c:v>278</c:v>
                </c:pt>
                <c:pt idx="55">
                  <c:v>295</c:v>
                </c:pt>
                <c:pt idx="56">
                  <c:v>256</c:v>
                </c:pt>
                <c:pt idx="57">
                  <c:v>302</c:v>
                </c:pt>
                <c:pt idx="58">
                  <c:v>298</c:v>
                </c:pt>
                <c:pt idx="59">
                  <c:v>257</c:v>
                </c:pt>
                <c:pt idx="60">
                  <c:v>281</c:v>
                </c:pt>
                <c:pt idx="61">
                  <c:v>240</c:v>
                </c:pt>
                <c:pt idx="62">
                  <c:v>300</c:v>
                </c:pt>
                <c:pt idx="63">
                  <c:v>242</c:v>
                </c:pt>
                <c:pt idx="64">
                  <c:v>341</c:v>
                </c:pt>
                <c:pt idx="65">
                  <c:v>427</c:v>
                </c:pt>
                <c:pt idx="66">
                  <c:v>380</c:v>
                </c:pt>
                <c:pt idx="67">
                  <c:v>393</c:v>
                </c:pt>
                <c:pt idx="68">
                  <c:v>406</c:v>
                </c:pt>
                <c:pt idx="69">
                  <c:v>403</c:v>
                </c:pt>
                <c:pt idx="70">
                  <c:v>428</c:v>
                </c:pt>
                <c:pt idx="71">
                  <c:v>411</c:v>
                </c:pt>
                <c:pt idx="72">
                  <c:v>395</c:v>
                </c:pt>
                <c:pt idx="73">
                  <c:v>446</c:v>
                </c:pt>
                <c:pt idx="74">
                  <c:v>419</c:v>
                </c:pt>
                <c:pt idx="75">
                  <c:v>385</c:v>
                </c:pt>
                <c:pt idx="76">
                  <c:v>402</c:v>
                </c:pt>
                <c:pt idx="77">
                  <c:v>369</c:v>
                </c:pt>
                <c:pt idx="78">
                  <c:v>380</c:v>
                </c:pt>
                <c:pt idx="79">
                  <c:v>349</c:v>
                </c:pt>
                <c:pt idx="80">
                  <c:v>370</c:v>
                </c:pt>
                <c:pt idx="81">
                  <c:v>330</c:v>
                </c:pt>
                <c:pt idx="82">
                  <c:v>327</c:v>
                </c:pt>
                <c:pt idx="83">
                  <c:v>377</c:v>
                </c:pt>
                <c:pt idx="84">
                  <c:v>336</c:v>
                </c:pt>
                <c:pt idx="85">
                  <c:v>332</c:v>
                </c:pt>
                <c:pt idx="86">
                  <c:v>383</c:v>
                </c:pt>
                <c:pt idx="87">
                  <c:v>328</c:v>
                </c:pt>
                <c:pt idx="88">
                  <c:v>349</c:v>
                </c:pt>
                <c:pt idx="89">
                  <c:v>371</c:v>
                </c:pt>
                <c:pt idx="90">
                  <c:v>405</c:v>
                </c:pt>
                <c:pt idx="91">
                  <c:v>357</c:v>
                </c:pt>
                <c:pt idx="92">
                  <c:v>369</c:v>
                </c:pt>
                <c:pt idx="93">
                  <c:v>375</c:v>
                </c:pt>
                <c:pt idx="94">
                  <c:v>331</c:v>
                </c:pt>
                <c:pt idx="95">
                  <c:v>374</c:v>
                </c:pt>
                <c:pt idx="96">
                  <c:v>339</c:v>
                </c:pt>
                <c:pt idx="97">
                  <c:v>317</c:v>
                </c:pt>
                <c:pt idx="98">
                  <c:v>378</c:v>
                </c:pt>
                <c:pt idx="99">
                  <c:v>364</c:v>
                </c:pt>
                <c:pt idx="100">
                  <c:v>373</c:v>
                </c:pt>
                <c:pt idx="101">
                  <c:v>387</c:v>
                </c:pt>
                <c:pt idx="102">
                  <c:v>350</c:v>
                </c:pt>
                <c:pt idx="103">
                  <c:v>380</c:v>
                </c:pt>
                <c:pt idx="104">
                  <c:v>362</c:v>
                </c:pt>
                <c:pt idx="105">
                  <c:v>373</c:v>
                </c:pt>
                <c:pt idx="106">
                  <c:v>365</c:v>
                </c:pt>
                <c:pt idx="107">
                  <c:v>327</c:v>
                </c:pt>
                <c:pt idx="108">
                  <c:v>377</c:v>
                </c:pt>
                <c:pt idx="109">
                  <c:v>311</c:v>
                </c:pt>
                <c:pt idx="110">
                  <c:v>348</c:v>
                </c:pt>
                <c:pt idx="111">
                  <c:v>347</c:v>
                </c:pt>
                <c:pt idx="112">
                  <c:v>324</c:v>
                </c:pt>
                <c:pt idx="113">
                  <c:v>367</c:v>
                </c:pt>
                <c:pt idx="114">
                  <c:v>353</c:v>
                </c:pt>
                <c:pt idx="115">
                  <c:v>341</c:v>
                </c:pt>
                <c:pt idx="116">
                  <c:v>407</c:v>
                </c:pt>
                <c:pt idx="117">
                  <c:v>365</c:v>
                </c:pt>
                <c:pt idx="118">
                  <c:v>285</c:v>
                </c:pt>
                <c:pt idx="119">
                  <c:v>319</c:v>
                </c:pt>
                <c:pt idx="120">
                  <c:v>315</c:v>
                </c:pt>
                <c:pt idx="121">
                  <c:v>335</c:v>
                </c:pt>
                <c:pt idx="122">
                  <c:v>390</c:v>
                </c:pt>
                <c:pt idx="123">
                  <c:v>345</c:v>
                </c:pt>
                <c:pt idx="124">
                  <c:v>399</c:v>
                </c:pt>
                <c:pt idx="125">
                  <c:v>333</c:v>
                </c:pt>
                <c:pt idx="126">
                  <c:v>313</c:v>
                </c:pt>
                <c:pt idx="127">
                  <c:v>398</c:v>
                </c:pt>
                <c:pt idx="128">
                  <c:v>326</c:v>
                </c:pt>
                <c:pt idx="129">
                  <c:v>329</c:v>
                </c:pt>
                <c:pt idx="130">
                  <c:v>337</c:v>
                </c:pt>
                <c:pt idx="131">
                  <c:v>323</c:v>
                </c:pt>
                <c:pt idx="132">
                  <c:v>360</c:v>
                </c:pt>
                <c:pt idx="133">
                  <c:v>311</c:v>
                </c:pt>
                <c:pt idx="134">
                  <c:v>312</c:v>
                </c:pt>
                <c:pt idx="135">
                  <c:v>339</c:v>
                </c:pt>
                <c:pt idx="136">
                  <c:v>367</c:v>
                </c:pt>
                <c:pt idx="137">
                  <c:v>342</c:v>
                </c:pt>
                <c:pt idx="138">
                  <c:v>316</c:v>
                </c:pt>
                <c:pt idx="139">
                  <c:v>351</c:v>
                </c:pt>
                <c:pt idx="140">
                  <c:v>367</c:v>
                </c:pt>
                <c:pt idx="141">
                  <c:v>303</c:v>
                </c:pt>
                <c:pt idx="142">
                  <c:v>355</c:v>
                </c:pt>
                <c:pt idx="143">
                  <c:v>326</c:v>
                </c:pt>
                <c:pt idx="144">
                  <c:v>304</c:v>
                </c:pt>
                <c:pt idx="145">
                  <c:v>302</c:v>
                </c:pt>
                <c:pt idx="146">
                  <c:v>332</c:v>
                </c:pt>
                <c:pt idx="147">
                  <c:v>342</c:v>
                </c:pt>
                <c:pt idx="148">
                  <c:v>326</c:v>
                </c:pt>
                <c:pt idx="149">
                  <c:v>315</c:v>
                </c:pt>
                <c:pt idx="150">
                  <c:v>328</c:v>
                </c:pt>
                <c:pt idx="151">
                  <c:v>347</c:v>
                </c:pt>
                <c:pt idx="152">
                  <c:v>374</c:v>
                </c:pt>
                <c:pt idx="153">
                  <c:v>327</c:v>
                </c:pt>
                <c:pt idx="154">
                  <c:v>311</c:v>
                </c:pt>
                <c:pt idx="155">
                  <c:v>318</c:v>
                </c:pt>
                <c:pt idx="156">
                  <c:v>318</c:v>
                </c:pt>
                <c:pt idx="157">
                  <c:v>318</c:v>
                </c:pt>
                <c:pt idx="158">
                  <c:v>305</c:v>
                </c:pt>
                <c:pt idx="159">
                  <c:v>301</c:v>
                </c:pt>
                <c:pt idx="160">
                  <c:v>327</c:v>
                </c:pt>
                <c:pt idx="161">
                  <c:v>332</c:v>
                </c:pt>
                <c:pt idx="162">
                  <c:v>328</c:v>
                </c:pt>
                <c:pt idx="163">
                  <c:v>327</c:v>
                </c:pt>
                <c:pt idx="164">
                  <c:v>337</c:v>
                </c:pt>
                <c:pt idx="165">
                  <c:v>308</c:v>
                </c:pt>
                <c:pt idx="166">
                  <c:v>313</c:v>
                </c:pt>
                <c:pt idx="167">
                  <c:v>349</c:v>
                </c:pt>
                <c:pt idx="168">
                  <c:v>320</c:v>
                </c:pt>
                <c:pt idx="169">
                  <c:v>317</c:v>
                </c:pt>
                <c:pt idx="170">
                  <c:v>279</c:v>
                </c:pt>
                <c:pt idx="171">
                  <c:v>284</c:v>
                </c:pt>
                <c:pt idx="172">
                  <c:v>298</c:v>
                </c:pt>
                <c:pt idx="173">
                  <c:v>307</c:v>
                </c:pt>
                <c:pt idx="174">
                  <c:v>344</c:v>
                </c:pt>
                <c:pt idx="175">
                  <c:v>350</c:v>
                </c:pt>
                <c:pt idx="176">
                  <c:v>333</c:v>
                </c:pt>
                <c:pt idx="177">
                  <c:v>350</c:v>
                </c:pt>
                <c:pt idx="178">
                  <c:v>318</c:v>
                </c:pt>
                <c:pt idx="179">
                  <c:v>299</c:v>
                </c:pt>
                <c:pt idx="180">
                  <c:v>341</c:v>
                </c:pt>
                <c:pt idx="181">
                  <c:v>334</c:v>
                </c:pt>
                <c:pt idx="182">
                  <c:v>330</c:v>
                </c:pt>
                <c:pt idx="183">
                  <c:v>328</c:v>
                </c:pt>
                <c:pt idx="184">
                  <c:v>304</c:v>
                </c:pt>
                <c:pt idx="185">
                  <c:v>301</c:v>
                </c:pt>
                <c:pt idx="186">
                  <c:v>306</c:v>
                </c:pt>
                <c:pt idx="187">
                  <c:v>277</c:v>
                </c:pt>
                <c:pt idx="188">
                  <c:v>329</c:v>
                </c:pt>
                <c:pt idx="189">
                  <c:v>307</c:v>
                </c:pt>
                <c:pt idx="190">
                  <c:v>307</c:v>
                </c:pt>
                <c:pt idx="191">
                  <c:v>309</c:v>
                </c:pt>
                <c:pt idx="192">
                  <c:v>379</c:v>
                </c:pt>
                <c:pt idx="193">
                  <c:v>290</c:v>
                </c:pt>
                <c:pt idx="194">
                  <c:v>278</c:v>
                </c:pt>
                <c:pt idx="195">
                  <c:v>318</c:v>
                </c:pt>
                <c:pt idx="196">
                  <c:v>316</c:v>
                </c:pt>
                <c:pt idx="197">
                  <c:v>302</c:v>
                </c:pt>
                <c:pt idx="198">
                  <c:v>313</c:v>
                </c:pt>
                <c:pt idx="199">
                  <c:v>303</c:v>
                </c:pt>
                <c:pt idx="200">
                  <c:v>260</c:v>
                </c:pt>
                <c:pt idx="201">
                  <c:v>313</c:v>
                </c:pt>
                <c:pt idx="202">
                  <c:v>295</c:v>
                </c:pt>
                <c:pt idx="203">
                  <c:v>318</c:v>
                </c:pt>
                <c:pt idx="204">
                  <c:v>287</c:v>
                </c:pt>
                <c:pt idx="205">
                  <c:v>321</c:v>
                </c:pt>
                <c:pt idx="206">
                  <c:v>334</c:v>
                </c:pt>
                <c:pt idx="207">
                  <c:v>270</c:v>
                </c:pt>
                <c:pt idx="208">
                  <c:v>274</c:v>
                </c:pt>
                <c:pt idx="209">
                  <c:v>299</c:v>
                </c:pt>
                <c:pt idx="210">
                  <c:v>320</c:v>
                </c:pt>
                <c:pt idx="211">
                  <c:v>309</c:v>
                </c:pt>
                <c:pt idx="212">
                  <c:v>319</c:v>
                </c:pt>
              </c:numCache>
            </c:numRef>
          </c:yVal>
          <c:smooth val="0"/>
          <c:extLst>
            <c:ext xmlns:c16="http://schemas.microsoft.com/office/drawing/2014/chart" uri="{C3380CC4-5D6E-409C-BE32-E72D297353CC}">
              <c16:uniqueId val="{00000000-C23D-436A-BECA-919B125D9D8A}"/>
            </c:ext>
          </c:extLst>
        </c:ser>
        <c:ser>
          <c:idx val="0"/>
          <c:order val="1"/>
          <c:tx>
            <c:v>Body Weight Goal, kg</c:v>
          </c:tx>
          <c:spPr>
            <a:ln w="101600">
              <a:solidFill>
                <a:schemeClr val="accent1">
                  <a:lumMod val="60000"/>
                  <a:lumOff val="40000"/>
                </a:schemeClr>
              </a:solidFill>
            </a:ln>
            <a:effectLst>
              <a:outerShdw blurRad="50800" dist="38100" dir="2700000" algn="tl" rotWithShape="0">
                <a:prstClr val="black">
                  <a:alpha val="40000"/>
                </a:prstClr>
              </a:outerShdw>
            </a:effectLst>
          </c:spPr>
          <c:marker>
            <c:symbol val="none"/>
          </c:marker>
          <c:xVal>
            <c:numRef>
              <c:f>'Custom Table'!$A$6:$A$34</c:f>
              <c:numCache>
                <c:formatCode>General</c:formatCode>
                <c:ptCount val="2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numCache>
            </c:numRef>
          </c:xVal>
          <c:yVal>
            <c:numRef>
              <c:f>'Custom Table'!$C$6:$C$34</c:f>
              <c:numCache>
                <c:formatCode>0</c:formatCode>
                <c:ptCount val="29"/>
                <c:pt idx="0">
                  <c:v>41</c:v>
                </c:pt>
                <c:pt idx="1">
                  <c:v>56.598860000000002</c:v>
                </c:pt>
                <c:pt idx="2">
                  <c:v>72.197720000000004</c:v>
                </c:pt>
                <c:pt idx="3">
                  <c:v>105.23310290879004</c:v>
                </c:pt>
                <c:pt idx="4">
                  <c:v>138.26848581758009</c:v>
                </c:pt>
                <c:pt idx="5">
                  <c:v>171.30386872637013</c:v>
                </c:pt>
                <c:pt idx="6">
                  <c:v>204.33925163516017</c:v>
                </c:pt>
                <c:pt idx="7">
                  <c:v>237.37463454395021</c:v>
                </c:pt>
                <c:pt idx="8">
                  <c:v>270.41001745274025</c:v>
                </c:pt>
                <c:pt idx="9">
                  <c:v>303.44540036153029</c:v>
                </c:pt>
                <c:pt idx="10">
                  <c:v>336.48078327032033</c:v>
                </c:pt>
                <c:pt idx="11">
                  <c:v>369.51616617911037</c:v>
                </c:pt>
                <c:pt idx="12">
                  <c:v>402.55154908790041</c:v>
                </c:pt>
                <c:pt idx="13">
                  <c:v>435.23727834313848</c:v>
                </c:pt>
                <c:pt idx="14">
                  <c:v>467.92300759837656</c:v>
                </c:pt>
                <c:pt idx="15">
                  <c:v>500.60873685361463</c:v>
                </c:pt>
                <c:pt idx="16">
                  <c:v>533.2944661088527</c:v>
                </c:pt>
                <c:pt idx="17">
                  <c:v>565.98019536409083</c:v>
                </c:pt>
                <c:pt idx="18">
                  <c:v>598.66592461932896</c:v>
                </c:pt>
                <c:pt idx="19">
                  <c:v>631.35165387456709</c:v>
                </c:pt>
                <c:pt idx="20">
                  <c:v>664.03738312980522</c:v>
                </c:pt>
                <c:pt idx="21">
                  <c:v>696.72311238504335</c:v>
                </c:pt>
                <c:pt idx="22">
                  <c:v>729.40884164028148</c:v>
                </c:pt>
                <c:pt idx="23">
                  <c:v>672.14006318313659</c:v>
                </c:pt>
                <c:pt idx="24">
                  <c:v>681.28012636627307</c:v>
                </c:pt>
                <c:pt idx="25">
                  <c:v>690.42018954940966</c:v>
                </c:pt>
                <c:pt idx="26">
                  <c:v>699.56025273254625</c:v>
                </c:pt>
                <c:pt idx="27">
                  <c:v>708.70031591568272</c:v>
                </c:pt>
                <c:pt idx="28">
                  <c:v>717.84037909881931</c:v>
                </c:pt>
              </c:numCache>
            </c:numRef>
          </c:yVal>
          <c:smooth val="0"/>
          <c:extLst>
            <c:ext xmlns:c16="http://schemas.microsoft.com/office/drawing/2014/chart" uri="{C3380CC4-5D6E-409C-BE32-E72D297353CC}">
              <c16:uniqueId val="{00000001-C23D-436A-BECA-919B125D9D8A}"/>
            </c:ext>
          </c:extLst>
        </c:ser>
        <c:dLbls>
          <c:showLegendKey val="0"/>
          <c:showVal val="0"/>
          <c:showCatName val="0"/>
          <c:showSerName val="0"/>
          <c:showPercent val="0"/>
          <c:showBubbleSize val="0"/>
        </c:dLbls>
        <c:axId val="670805360"/>
        <c:axId val="783027904"/>
      </c:scatterChart>
      <c:valAx>
        <c:axId val="670805360"/>
        <c:scaling>
          <c:orientation val="minMax"/>
          <c:max val="28"/>
        </c:scaling>
        <c:delete val="0"/>
        <c:axPos val="b"/>
        <c:title>
          <c:tx>
            <c:rich>
              <a:bodyPr/>
              <a:lstStyle/>
              <a:p>
                <a:pPr>
                  <a:defRPr sz="2000"/>
                </a:pPr>
                <a:r>
                  <a:rPr lang="en-US" sz="2000"/>
                  <a:t>Age, months</a:t>
                </a:r>
              </a:p>
            </c:rich>
          </c:tx>
          <c:layout>
            <c:manualLayout>
              <c:xMode val="edge"/>
              <c:yMode val="edge"/>
              <c:x val="0.47265008994313712"/>
              <c:y val="0.94060670445916761"/>
            </c:manualLayout>
          </c:layout>
          <c:overlay val="0"/>
        </c:title>
        <c:numFmt formatCode="0" sourceLinked="0"/>
        <c:majorTickMark val="out"/>
        <c:minorTickMark val="none"/>
        <c:tickLblPos val="nextTo"/>
        <c:txPr>
          <a:bodyPr/>
          <a:lstStyle/>
          <a:p>
            <a:pPr>
              <a:defRPr sz="1800"/>
            </a:pPr>
            <a:endParaRPr lang="de-DE"/>
          </a:p>
        </c:txPr>
        <c:crossAx val="783027904"/>
        <c:crosses val="autoZero"/>
        <c:crossBetween val="midCat"/>
        <c:majorUnit val="2"/>
      </c:valAx>
      <c:valAx>
        <c:axId val="783027904"/>
        <c:scaling>
          <c:orientation val="minMax"/>
        </c:scaling>
        <c:delete val="0"/>
        <c:axPos val="l"/>
        <c:majorGridlines/>
        <c:title>
          <c:tx>
            <c:rich>
              <a:bodyPr rot="-5400000" vert="horz"/>
              <a:lstStyle/>
              <a:p>
                <a:pPr>
                  <a:defRPr sz="2000"/>
                </a:pPr>
                <a:r>
                  <a:rPr lang="en-US" sz="2000"/>
                  <a:t>Body weight, kg</a:t>
                </a:r>
              </a:p>
            </c:rich>
          </c:tx>
          <c:layout>
            <c:manualLayout>
              <c:xMode val="edge"/>
              <c:yMode val="edge"/>
              <c:x val="4.3939396385713628E-3"/>
              <c:y val="0.36069982689389651"/>
            </c:manualLayout>
          </c:layout>
          <c:overlay val="0"/>
        </c:title>
        <c:numFmt formatCode="General" sourceLinked="1"/>
        <c:majorTickMark val="out"/>
        <c:minorTickMark val="none"/>
        <c:tickLblPos val="nextTo"/>
        <c:txPr>
          <a:bodyPr/>
          <a:lstStyle/>
          <a:p>
            <a:pPr>
              <a:defRPr sz="1800"/>
            </a:pPr>
            <a:endParaRPr lang="de-DE"/>
          </a:p>
        </c:txPr>
        <c:crossAx val="670805360"/>
        <c:crosses val="autoZero"/>
        <c:crossBetween val="midCat"/>
      </c:valAx>
      <c:spPr>
        <a:ln>
          <a:solidFill>
            <a:schemeClr val="tx1">
              <a:lumMod val="50000"/>
              <a:lumOff val="50000"/>
            </a:schemeClr>
          </a:solidFill>
        </a:ln>
      </c:spPr>
    </c:plotArea>
    <c:legend>
      <c:legendPos val="r"/>
      <c:layout>
        <c:manualLayout>
          <c:xMode val="edge"/>
          <c:yMode val="edge"/>
          <c:x val="0.14812570219422513"/>
          <c:y val="0.13745416376778599"/>
          <c:w val="0.25789496385321542"/>
          <c:h val="8.7158159962249945E-2"/>
        </c:manualLayout>
      </c:layout>
      <c:overlay val="1"/>
      <c:txPr>
        <a:bodyPr/>
        <a:lstStyle/>
        <a:p>
          <a:pPr>
            <a:defRPr sz="1200"/>
          </a:pPr>
          <a:endParaRPr lang="de-DE"/>
        </a:p>
      </c:txPr>
    </c:legend>
    <c:plotVisOnly val="1"/>
    <c:dispBlanksAs val="gap"/>
    <c:showDLblsOverMax val="0"/>
  </c:chart>
  <c:spPr>
    <a:ln>
      <a:noFill/>
    </a:ln>
  </c:spPr>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400"/>
            </a:pPr>
            <a:r>
              <a:rPr lang="en-US" sz="2400"/>
              <a:t>Customized</a:t>
            </a:r>
            <a:r>
              <a:rPr lang="en-US" sz="2400" baseline="0"/>
              <a:t> Heifer Growth Chart</a:t>
            </a:r>
          </a:p>
          <a:p>
            <a:pPr>
              <a:defRPr sz="2400"/>
            </a:pPr>
            <a:r>
              <a:rPr lang="en-US" sz="1800" baseline="0"/>
              <a:t>Based on Mature Height and Goal for Age at Calving</a:t>
            </a:r>
          </a:p>
        </c:rich>
      </c:tx>
      <c:layout>
        <c:manualLayout>
          <c:xMode val="edge"/>
          <c:yMode val="edge"/>
          <c:x val="0.30579513354462684"/>
          <c:y val="6.0574417181893728E-3"/>
        </c:manualLayout>
      </c:layout>
      <c:overlay val="0"/>
    </c:title>
    <c:autoTitleDeleted val="0"/>
    <c:plotArea>
      <c:layout>
        <c:manualLayout>
          <c:layoutTarget val="inner"/>
          <c:xMode val="edge"/>
          <c:yMode val="edge"/>
          <c:x val="0.13638177407677102"/>
          <c:y val="0.1297453139885249"/>
          <c:w val="0.83414584696588789"/>
          <c:h val="0.73837066582890609"/>
        </c:manualLayout>
      </c:layout>
      <c:scatterChart>
        <c:scatterStyle val="lineMarker"/>
        <c:varyColors val="0"/>
        <c:ser>
          <c:idx val="0"/>
          <c:order val="0"/>
          <c:tx>
            <c:v>Height Goal, cm</c:v>
          </c:tx>
          <c:spPr>
            <a:ln w="101600">
              <a:noFill/>
            </a:ln>
          </c:spPr>
          <c:marker>
            <c:symbol val="none"/>
          </c:marker>
          <c:trendline>
            <c:name>Height Goal, cm</c:name>
            <c:spPr>
              <a:ln w="101600">
                <a:solidFill>
                  <a:schemeClr val="accent1">
                    <a:lumMod val="60000"/>
                    <a:lumOff val="40000"/>
                    <a:alpha val="85000"/>
                  </a:schemeClr>
                </a:solidFill>
              </a:ln>
              <a:effectLst>
                <a:outerShdw blurRad="50800" dist="38100" dir="2700000" algn="tl" rotWithShape="0">
                  <a:prstClr val="black">
                    <a:alpha val="40000"/>
                  </a:prstClr>
                </a:outerShdw>
              </a:effectLst>
            </c:spPr>
            <c:trendlineType val="poly"/>
            <c:order val="2"/>
            <c:dispRSqr val="0"/>
            <c:dispEq val="0"/>
          </c:trendline>
          <c:xVal>
            <c:numRef>
              <c:f>'Custom Table'!$A$6:$A$34</c:f>
              <c:numCache>
                <c:formatCode>General</c:formatCode>
                <c:ptCount val="2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numCache>
            </c:numRef>
          </c:xVal>
          <c:yVal>
            <c:numRef>
              <c:f>'Custom Table'!$E$6:$E$34</c:f>
              <c:numCache>
                <c:formatCode>0.0</c:formatCode>
                <c:ptCount val="29"/>
                <c:pt idx="0">
                  <c:v>80.850000000000009</c:v>
                </c:pt>
                <c:pt idx="1">
                  <c:v>85.872500000000016</c:v>
                </c:pt>
                <c:pt idx="2">
                  <c:v>90.895000000000024</c:v>
                </c:pt>
                <c:pt idx="3">
                  <c:v>95.917500000000032</c:v>
                </c:pt>
                <c:pt idx="4">
                  <c:v>100.94000000000004</c:v>
                </c:pt>
                <c:pt idx="5">
                  <c:v>105.96250000000005</c:v>
                </c:pt>
                <c:pt idx="6">
                  <c:v>110.98500000000006</c:v>
                </c:pt>
                <c:pt idx="7">
                  <c:v>113.49625000000006</c:v>
                </c:pt>
                <c:pt idx="8">
                  <c:v>116.00750000000006</c:v>
                </c:pt>
                <c:pt idx="9">
                  <c:v>118.51875000000007</c:v>
                </c:pt>
                <c:pt idx="10">
                  <c:v>121.03000000000007</c:v>
                </c:pt>
                <c:pt idx="11">
                  <c:v>123.54125000000008</c:v>
                </c:pt>
                <c:pt idx="12">
                  <c:v>126.05250000000008</c:v>
                </c:pt>
                <c:pt idx="13">
                  <c:v>127.55925000000008</c:v>
                </c:pt>
                <c:pt idx="14">
                  <c:v>129.06600000000009</c:v>
                </c:pt>
                <c:pt idx="15">
                  <c:v>130.5727500000001</c:v>
                </c:pt>
                <c:pt idx="16">
                  <c:v>132.07950000000011</c:v>
                </c:pt>
                <c:pt idx="17">
                  <c:v>133.58625000000012</c:v>
                </c:pt>
                <c:pt idx="18">
                  <c:v>135.09300000000013</c:v>
                </c:pt>
                <c:pt idx="19">
                  <c:v>136.59975000000014</c:v>
                </c:pt>
                <c:pt idx="20">
                  <c:v>138.10650000000015</c:v>
                </c:pt>
                <c:pt idx="21">
                  <c:v>139.61325000000016</c:v>
                </c:pt>
                <c:pt idx="22">
                  <c:v>141.12000000000018</c:v>
                </c:pt>
                <c:pt idx="23">
                  <c:v>141.22888888888906</c:v>
                </c:pt>
                <c:pt idx="24">
                  <c:v>141.33777777777794</c:v>
                </c:pt>
                <c:pt idx="25">
                  <c:v>141.44666666666683</c:v>
                </c:pt>
                <c:pt idx="26">
                  <c:v>141.55555555555571</c:v>
                </c:pt>
                <c:pt idx="27">
                  <c:v>141.6644444444446</c:v>
                </c:pt>
                <c:pt idx="28">
                  <c:v>141.77333333333348</c:v>
                </c:pt>
              </c:numCache>
            </c:numRef>
          </c:yVal>
          <c:smooth val="0"/>
          <c:extLst>
            <c:ext xmlns:c16="http://schemas.microsoft.com/office/drawing/2014/chart" uri="{C3380CC4-5D6E-409C-BE32-E72D297353CC}">
              <c16:uniqueId val="{00000001-CF20-4C19-AC3C-BEAF7A35CEBE}"/>
            </c:ext>
          </c:extLst>
        </c:ser>
        <c:ser>
          <c:idx val="1"/>
          <c:order val="1"/>
          <c:tx>
            <c:v>Your Heifers</c:v>
          </c:tx>
          <c:spPr>
            <a:ln w="28575">
              <a:noFill/>
            </a:ln>
          </c:spPr>
          <c:marker>
            <c:symbol val="square"/>
            <c:size val="7"/>
            <c:spPr>
              <a:solidFill>
                <a:schemeClr val="accent2"/>
              </a:solidFill>
            </c:spPr>
          </c:marker>
          <c:xVal>
            <c:numRef>
              <c:f>'Input Heifer Data'!$H$2:$H$56</c:f>
              <c:numCache>
                <c:formatCode>0.0</c:formatCode>
                <c:ptCount val="55"/>
                <c:pt idx="0">
                  <c:v>8.2867477803354159</c:v>
                </c:pt>
                <c:pt idx="1">
                  <c:v>8.2538638605721797</c:v>
                </c:pt>
                <c:pt idx="2">
                  <c:v>8.1552121012824728</c:v>
                </c:pt>
                <c:pt idx="3">
                  <c:v>8.1223281815192365</c:v>
                </c:pt>
                <c:pt idx="4">
                  <c:v>8.1223281815192365</c:v>
                </c:pt>
                <c:pt idx="5">
                  <c:v>8.0894442617560021</c:v>
                </c:pt>
                <c:pt idx="6">
                  <c:v>8.0894442617560021</c:v>
                </c:pt>
                <c:pt idx="7">
                  <c:v>8.0894442617560021</c:v>
                </c:pt>
                <c:pt idx="8">
                  <c:v>8.0894442617560021</c:v>
                </c:pt>
                <c:pt idx="9">
                  <c:v>8.0565603419927658</c:v>
                </c:pt>
                <c:pt idx="10">
                  <c:v>8.0565603419927658</c:v>
                </c:pt>
                <c:pt idx="11">
                  <c:v>8.0565603419927658</c:v>
                </c:pt>
                <c:pt idx="12">
                  <c:v>8.0236764222295296</c:v>
                </c:pt>
                <c:pt idx="13">
                  <c:v>7.9907925024662942</c:v>
                </c:pt>
                <c:pt idx="14">
                  <c:v>7.957908582703058</c:v>
                </c:pt>
                <c:pt idx="15">
                  <c:v>7.9250246629398227</c:v>
                </c:pt>
                <c:pt idx="16">
                  <c:v>7.9250246629398227</c:v>
                </c:pt>
                <c:pt idx="17">
                  <c:v>7.9250246629398227</c:v>
                </c:pt>
                <c:pt idx="18">
                  <c:v>7.9250246629398227</c:v>
                </c:pt>
                <c:pt idx="19">
                  <c:v>7.8921407431765864</c:v>
                </c:pt>
                <c:pt idx="20">
                  <c:v>7.8921407431765864</c:v>
                </c:pt>
                <c:pt idx="21">
                  <c:v>7.8921407431765864</c:v>
                </c:pt>
                <c:pt idx="22">
                  <c:v>7.7934889838868795</c:v>
                </c:pt>
                <c:pt idx="23">
                  <c:v>7.7934889838868795</c:v>
                </c:pt>
                <c:pt idx="24">
                  <c:v>7.7934889838868795</c:v>
                </c:pt>
                <c:pt idx="25">
                  <c:v>7.7934889838868795</c:v>
                </c:pt>
                <c:pt idx="26">
                  <c:v>7.7606050641236433</c:v>
                </c:pt>
                <c:pt idx="27">
                  <c:v>7.7606050641236433</c:v>
                </c:pt>
                <c:pt idx="28">
                  <c:v>7.7606050641236433</c:v>
                </c:pt>
                <c:pt idx="29">
                  <c:v>7.7606050641236433</c:v>
                </c:pt>
                <c:pt idx="30">
                  <c:v>7.7606050641236433</c:v>
                </c:pt>
                <c:pt idx="31">
                  <c:v>7.7277211443604079</c:v>
                </c:pt>
                <c:pt idx="32">
                  <c:v>7.7277211443604079</c:v>
                </c:pt>
                <c:pt idx="33">
                  <c:v>7.6948372245971717</c:v>
                </c:pt>
                <c:pt idx="34">
                  <c:v>7.6948372245971717</c:v>
                </c:pt>
                <c:pt idx="35">
                  <c:v>7.6948372245971717</c:v>
                </c:pt>
                <c:pt idx="36">
                  <c:v>7.6619533048339363</c:v>
                </c:pt>
                <c:pt idx="37">
                  <c:v>7.6619533048339363</c:v>
                </c:pt>
                <c:pt idx="38">
                  <c:v>7.6619533048339363</c:v>
                </c:pt>
                <c:pt idx="39">
                  <c:v>7.5961854653074647</c:v>
                </c:pt>
                <c:pt idx="40">
                  <c:v>7.5961854653074647</c:v>
                </c:pt>
                <c:pt idx="41">
                  <c:v>7.5961854653074647</c:v>
                </c:pt>
                <c:pt idx="42">
                  <c:v>7.5961854653074647</c:v>
                </c:pt>
                <c:pt idx="43">
                  <c:v>7.5633015455442285</c:v>
                </c:pt>
                <c:pt idx="44">
                  <c:v>7.5633015455442285</c:v>
                </c:pt>
                <c:pt idx="45">
                  <c:v>7.5633015455442285</c:v>
                </c:pt>
                <c:pt idx="46">
                  <c:v>7.5633015455442285</c:v>
                </c:pt>
                <c:pt idx="47">
                  <c:v>7.5304176257809932</c:v>
                </c:pt>
                <c:pt idx="48">
                  <c:v>7.4975337060177569</c:v>
                </c:pt>
                <c:pt idx="49">
                  <c:v>7.4975337060177569</c:v>
                </c:pt>
                <c:pt idx="50">
                  <c:v>7.4975337060177569</c:v>
                </c:pt>
                <c:pt idx="51">
                  <c:v>7.4646497862545216</c:v>
                </c:pt>
                <c:pt idx="52">
                  <c:v>7.4646497862545216</c:v>
                </c:pt>
                <c:pt idx="53">
                  <c:v>7.4317658664912853</c:v>
                </c:pt>
                <c:pt idx="54">
                  <c:v>7.39888194672805</c:v>
                </c:pt>
              </c:numCache>
            </c:numRef>
          </c:xVal>
          <c:yVal>
            <c:numRef>
              <c:f>'Input Heifer Data'!$F$2:$F$56</c:f>
              <c:numCache>
                <c:formatCode>0</c:formatCode>
                <c:ptCount val="55"/>
                <c:pt idx="0">
                  <c:v>130.81</c:v>
                </c:pt>
                <c:pt idx="1">
                  <c:v>127.63500000000001</c:v>
                </c:pt>
                <c:pt idx="2">
                  <c:v>135.255</c:v>
                </c:pt>
                <c:pt idx="3">
                  <c:v>132.715</c:v>
                </c:pt>
                <c:pt idx="4">
                  <c:v>133.98500000000001</c:v>
                </c:pt>
                <c:pt idx="5">
                  <c:v>131.44499999999999</c:v>
                </c:pt>
                <c:pt idx="6">
                  <c:v>132.08000000000001</c:v>
                </c:pt>
                <c:pt idx="7">
                  <c:v>132.08000000000001</c:v>
                </c:pt>
                <c:pt idx="8">
                  <c:v>132.08000000000001</c:v>
                </c:pt>
                <c:pt idx="9">
                  <c:v>128.905</c:v>
                </c:pt>
                <c:pt idx="10">
                  <c:v>135.255</c:v>
                </c:pt>
                <c:pt idx="11">
                  <c:v>133.35</c:v>
                </c:pt>
                <c:pt idx="12">
                  <c:v>139.69999999999999</c:v>
                </c:pt>
                <c:pt idx="13">
                  <c:v>133.35</c:v>
                </c:pt>
                <c:pt idx="14">
                  <c:v>116.84</c:v>
                </c:pt>
                <c:pt idx="15">
                  <c:v>121.92</c:v>
                </c:pt>
                <c:pt idx="16">
                  <c:v>121.92</c:v>
                </c:pt>
                <c:pt idx="17">
                  <c:v>119.38</c:v>
                </c:pt>
                <c:pt idx="18">
                  <c:v>119.38</c:v>
                </c:pt>
                <c:pt idx="19">
                  <c:v>119.38</c:v>
                </c:pt>
                <c:pt idx="20">
                  <c:v>124.46000000000001</c:v>
                </c:pt>
                <c:pt idx="21">
                  <c:v>130.81</c:v>
                </c:pt>
                <c:pt idx="22">
                  <c:v>132.08000000000001</c:v>
                </c:pt>
                <c:pt idx="23">
                  <c:v>128.27000000000001</c:v>
                </c:pt>
                <c:pt idx="24">
                  <c:v>132.08000000000001</c:v>
                </c:pt>
                <c:pt idx="25">
                  <c:v>127</c:v>
                </c:pt>
                <c:pt idx="26">
                  <c:v>129.54</c:v>
                </c:pt>
                <c:pt idx="27">
                  <c:v>127</c:v>
                </c:pt>
                <c:pt idx="28">
                  <c:v>124.46000000000001</c:v>
                </c:pt>
                <c:pt idx="29">
                  <c:v>124.46000000000001</c:v>
                </c:pt>
                <c:pt idx="30">
                  <c:v>130.81</c:v>
                </c:pt>
                <c:pt idx="31">
                  <c:v>127</c:v>
                </c:pt>
                <c:pt idx="32">
                  <c:v>121.92</c:v>
                </c:pt>
                <c:pt idx="33">
                  <c:v>134.62</c:v>
                </c:pt>
                <c:pt idx="34">
                  <c:v>124.46000000000001</c:v>
                </c:pt>
                <c:pt idx="35">
                  <c:v>125.73</c:v>
                </c:pt>
                <c:pt idx="36">
                  <c:v>128.27000000000001</c:v>
                </c:pt>
                <c:pt idx="37">
                  <c:v>119.38</c:v>
                </c:pt>
                <c:pt idx="38">
                  <c:v>118.11</c:v>
                </c:pt>
                <c:pt idx="39">
                  <c:v>121.92</c:v>
                </c:pt>
                <c:pt idx="40">
                  <c:v>127</c:v>
                </c:pt>
                <c:pt idx="41">
                  <c:v>127</c:v>
                </c:pt>
                <c:pt idx="42">
                  <c:v>124.46000000000001</c:v>
                </c:pt>
                <c:pt idx="43">
                  <c:v>127</c:v>
                </c:pt>
                <c:pt idx="44">
                  <c:v>127</c:v>
                </c:pt>
                <c:pt idx="45">
                  <c:v>124.46000000000001</c:v>
                </c:pt>
                <c:pt idx="46">
                  <c:v>124.46000000000001</c:v>
                </c:pt>
                <c:pt idx="47">
                  <c:v>121.92</c:v>
                </c:pt>
                <c:pt idx="48">
                  <c:v>129.54</c:v>
                </c:pt>
                <c:pt idx="49">
                  <c:v>124.46000000000001</c:v>
                </c:pt>
                <c:pt idx="50">
                  <c:v>130.81</c:v>
                </c:pt>
                <c:pt idx="51">
                  <c:v>129.54</c:v>
                </c:pt>
                <c:pt idx="52">
                  <c:v>132.08000000000001</c:v>
                </c:pt>
                <c:pt idx="53">
                  <c:v>129.54</c:v>
                </c:pt>
                <c:pt idx="54">
                  <c:v>135.89000000000001</c:v>
                </c:pt>
              </c:numCache>
            </c:numRef>
          </c:yVal>
          <c:smooth val="0"/>
          <c:extLst>
            <c:ext xmlns:c16="http://schemas.microsoft.com/office/drawing/2014/chart" uri="{C3380CC4-5D6E-409C-BE32-E72D297353CC}">
              <c16:uniqueId val="{00000002-CF20-4C19-AC3C-BEAF7A35CEBE}"/>
            </c:ext>
          </c:extLst>
        </c:ser>
        <c:dLbls>
          <c:showLegendKey val="0"/>
          <c:showVal val="0"/>
          <c:showCatName val="0"/>
          <c:showSerName val="0"/>
          <c:showPercent val="0"/>
          <c:showBubbleSize val="0"/>
        </c:dLbls>
        <c:axId val="792895280"/>
        <c:axId val="792895840"/>
      </c:scatterChart>
      <c:valAx>
        <c:axId val="792895280"/>
        <c:scaling>
          <c:orientation val="minMax"/>
          <c:max val="28"/>
        </c:scaling>
        <c:delete val="0"/>
        <c:axPos val="b"/>
        <c:title>
          <c:tx>
            <c:rich>
              <a:bodyPr/>
              <a:lstStyle/>
              <a:p>
                <a:pPr>
                  <a:defRPr sz="2000"/>
                </a:pPr>
                <a:r>
                  <a:rPr lang="en-US" sz="2000"/>
                  <a:t>Age, months</a:t>
                </a:r>
              </a:p>
            </c:rich>
          </c:tx>
          <c:layout>
            <c:manualLayout>
              <c:xMode val="edge"/>
              <c:yMode val="edge"/>
              <c:x val="0.47265008994313712"/>
              <c:y val="0.94060670445916761"/>
            </c:manualLayout>
          </c:layout>
          <c:overlay val="0"/>
        </c:title>
        <c:numFmt formatCode="General" sourceLinked="1"/>
        <c:majorTickMark val="out"/>
        <c:minorTickMark val="none"/>
        <c:tickLblPos val="nextTo"/>
        <c:txPr>
          <a:bodyPr/>
          <a:lstStyle/>
          <a:p>
            <a:pPr>
              <a:defRPr sz="1800"/>
            </a:pPr>
            <a:endParaRPr lang="de-DE"/>
          </a:p>
        </c:txPr>
        <c:crossAx val="792895840"/>
        <c:crosses val="autoZero"/>
        <c:crossBetween val="midCat"/>
        <c:majorUnit val="2"/>
      </c:valAx>
      <c:valAx>
        <c:axId val="792895840"/>
        <c:scaling>
          <c:orientation val="minMax"/>
          <c:min val="20"/>
        </c:scaling>
        <c:delete val="0"/>
        <c:axPos val="l"/>
        <c:majorGridlines/>
        <c:title>
          <c:tx>
            <c:rich>
              <a:bodyPr rot="-5400000" vert="horz"/>
              <a:lstStyle/>
              <a:p>
                <a:pPr>
                  <a:defRPr sz="2000"/>
                </a:pPr>
                <a:r>
                  <a:rPr lang="en-US" sz="2000"/>
                  <a:t>Height, cm</a:t>
                </a:r>
              </a:p>
            </c:rich>
          </c:tx>
          <c:layout>
            <c:manualLayout>
              <c:xMode val="edge"/>
              <c:yMode val="edge"/>
              <c:x val="4.3939396385713628E-3"/>
              <c:y val="0.31022114590898525"/>
            </c:manualLayout>
          </c:layout>
          <c:overlay val="0"/>
        </c:title>
        <c:numFmt formatCode="0" sourceLinked="0"/>
        <c:majorTickMark val="out"/>
        <c:minorTickMark val="none"/>
        <c:tickLblPos val="nextTo"/>
        <c:txPr>
          <a:bodyPr/>
          <a:lstStyle/>
          <a:p>
            <a:pPr>
              <a:defRPr sz="1800"/>
            </a:pPr>
            <a:endParaRPr lang="de-DE"/>
          </a:p>
        </c:txPr>
        <c:crossAx val="792895280"/>
        <c:crosses val="autoZero"/>
        <c:crossBetween val="midCat"/>
      </c:valAx>
      <c:spPr>
        <a:ln>
          <a:solidFill>
            <a:schemeClr val="tx1">
              <a:lumMod val="50000"/>
              <a:lumOff val="50000"/>
            </a:schemeClr>
          </a:solidFill>
        </a:ln>
      </c:spPr>
    </c:plotArea>
    <c:legend>
      <c:legendPos val="r"/>
      <c:legendEntry>
        <c:idx val="0"/>
        <c:delete val="1"/>
      </c:legendEntry>
      <c:layout>
        <c:manualLayout>
          <c:xMode val="edge"/>
          <c:yMode val="edge"/>
          <c:x val="0.15105499528660596"/>
          <c:y val="0.13745416376778599"/>
          <c:w val="0.15790918469386683"/>
          <c:h val="8.2842599220551982E-2"/>
        </c:manualLayout>
      </c:layout>
      <c:overlay val="1"/>
      <c:txPr>
        <a:bodyPr/>
        <a:lstStyle/>
        <a:p>
          <a:pPr>
            <a:defRPr sz="1200"/>
          </a:pPr>
          <a:endParaRPr lang="de-DE"/>
        </a:p>
      </c:txPr>
    </c:legend>
    <c:plotVisOnly val="1"/>
    <c:dispBlanksAs val="gap"/>
    <c:showDLblsOverMax val="0"/>
  </c:chart>
  <c:spPr>
    <a:ln>
      <a:noFill/>
    </a:ln>
  </c:spPr>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a:defRPr sz="2400"/>
            </a:pPr>
            <a:r>
              <a:rPr lang="en-US" sz="2400" b="1" i="0" baseline="0">
                <a:latin typeface="+mn-lt"/>
              </a:rPr>
              <a:t>Customized Heifer Growth Chart</a:t>
            </a:r>
            <a:endParaRPr lang="en-US" sz="2400">
              <a:latin typeface="+mn-lt"/>
            </a:endParaRPr>
          </a:p>
          <a:p>
            <a:pPr algn="ctr">
              <a:defRPr sz="2400"/>
            </a:pPr>
            <a:r>
              <a:rPr lang="en-US" sz="1800" b="1" i="0" baseline="0">
                <a:latin typeface="+mn-lt"/>
              </a:rPr>
              <a:t>Based on Mature Size and Goal for Age at Calving</a:t>
            </a:r>
            <a:endParaRPr lang="en-US" sz="2400">
              <a:latin typeface="+mn-lt"/>
            </a:endParaRPr>
          </a:p>
        </c:rich>
      </c:tx>
      <c:layout>
        <c:manualLayout>
          <c:xMode val="edge"/>
          <c:yMode val="edge"/>
          <c:x val="0.42191634202712508"/>
          <c:y val="4.0383361170762749E-3"/>
        </c:manualLayout>
      </c:layout>
      <c:overlay val="0"/>
    </c:title>
    <c:autoTitleDeleted val="0"/>
    <c:plotArea>
      <c:layout>
        <c:manualLayout>
          <c:layoutTarget val="inner"/>
          <c:xMode val="edge"/>
          <c:yMode val="edge"/>
          <c:x val="0.12301681667953325"/>
          <c:y val="0.13984840531297227"/>
          <c:w val="0.84751080436312465"/>
          <c:h val="0.72624846894138229"/>
        </c:manualLayout>
      </c:layout>
      <c:scatterChart>
        <c:scatterStyle val="lineMarker"/>
        <c:varyColors val="0"/>
        <c:ser>
          <c:idx val="1"/>
          <c:order val="0"/>
          <c:tx>
            <c:v>Your Heifers BW</c:v>
          </c:tx>
          <c:spPr>
            <a:ln>
              <a:noFill/>
            </a:ln>
          </c:spPr>
          <c:marker>
            <c:symbol val="square"/>
            <c:size val="7"/>
            <c:spPr>
              <a:solidFill>
                <a:schemeClr val="accent3">
                  <a:lumMod val="50000"/>
                </a:schemeClr>
              </a:solidFill>
              <a:ln>
                <a:solidFill>
                  <a:schemeClr val="accent3">
                    <a:lumMod val="50000"/>
                  </a:schemeClr>
                </a:solidFill>
              </a:ln>
            </c:spPr>
          </c:marker>
          <c:xVal>
            <c:numRef>
              <c:f>'Input Heifer Data'!$H$2:$H$56</c:f>
              <c:numCache>
                <c:formatCode>0.0</c:formatCode>
                <c:ptCount val="55"/>
                <c:pt idx="0">
                  <c:v>8.2867477803354159</c:v>
                </c:pt>
                <c:pt idx="1">
                  <c:v>8.2538638605721797</c:v>
                </c:pt>
                <c:pt idx="2">
                  <c:v>8.1552121012824728</c:v>
                </c:pt>
                <c:pt idx="3">
                  <c:v>8.1223281815192365</c:v>
                </c:pt>
                <c:pt idx="4">
                  <c:v>8.1223281815192365</c:v>
                </c:pt>
                <c:pt idx="5">
                  <c:v>8.0894442617560021</c:v>
                </c:pt>
                <c:pt idx="6">
                  <c:v>8.0894442617560021</c:v>
                </c:pt>
                <c:pt idx="7">
                  <c:v>8.0894442617560021</c:v>
                </c:pt>
                <c:pt idx="8">
                  <c:v>8.0894442617560021</c:v>
                </c:pt>
                <c:pt idx="9">
                  <c:v>8.0565603419927658</c:v>
                </c:pt>
                <c:pt idx="10">
                  <c:v>8.0565603419927658</c:v>
                </c:pt>
                <c:pt idx="11">
                  <c:v>8.0565603419927658</c:v>
                </c:pt>
                <c:pt idx="12">
                  <c:v>8.0236764222295296</c:v>
                </c:pt>
                <c:pt idx="13">
                  <c:v>7.9907925024662942</c:v>
                </c:pt>
                <c:pt idx="14">
                  <c:v>7.957908582703058</c:v>
                </c:pt>
                <c:pt idx="15">
                  <c:v>7.9250246629398227</c:v>
                </c:pt>
                <c:pt idx="16">
                  <c:v>7.9250246629398227</c:v>
                </c:pt>
                <c:pt idx="17">
                  <c:v>7.9250246629398227</c:v>
                </c:pt>
                <c:pt idx="18">
                  <c:v>7.9250246629398227</c:v>
                </c:pt>
                <c:pt idx="19">
                  <c:v>7.8921407431765864</c:v>
                </c:pt>
                <c:pt idx="20">
                  <c:v>7.8921407431765864</c:v>
                </c:pt>
                <c:pt idx="21">
                  <c:v>7.8921407431765864</c:v>
                </c:pt>
                <c:pt idx="22">
                  <c:v>7.7934889838868795</c:v>
                </c:pt>
                <c:pt idx="23">
                  <c:v>7.7934889838868795</c:v>
                </c:pt>
                <c:pt idx="24">
                  <c:v>7.7934889838868795</c:v>
                </c:pt>
                <c:pt idx="25">
                  <c:v>7.7934889838868795</c:v>
                </c:pt>
                <c:pt idx="26">
                  <c:v>7.7606050641236433</c:v>
                </c:pt>
                <c:pt idx="27">
                  <c:v>7.7606050641236433</c:v>
                </c:pt>
                <c:pt idx="28">
                  <c:v>7.7606050641236433</c:v>
                </c:pt>
                <c:pt idx="29">
                  <c:v>7.7606050641236433</c:v>
                </c:pt>
                <c:pt idx="30">
                  <c:v>7.7606050641236433</c:v>
                </c:pt>
                <c:pt idx="31">
                  <c:v>7.7277211443604079</c:v>
                </c:pt>
                <c:pt idx="32">
                  <c:v>7.7277211443604079</c:v>
                </c:pt>
                <c:pt idx="33">
                  <c:v>7.6948372245971717</c:v>
                </c:pt>
                <c:pt idx="34">
                  <c:v>7.6948372245971717</c:v>
                </c:pt>
                <c:pt idx="35">
                  <c:v>7.6948372245971717</c:v>
                </c:pt>
                <c:pt idx="36">
                  <c:v>7.6619533048339363</c:v>
                </c:pt>
                <c:pt idx="37">
                  <c:v>7.6619533048339363</c:v>
                </c:pt>
                <c:pt idx="38">
                  <c:v>7.6619533048339363</c:v>
                </c:pt>
                <c:pt idx="39">
                  <c:v>7.5961854653074647</c:v>
                </c:pt>
                <c:pt idx="40">
                  <c:v>7.5961854653074647</c:v>
                </c:pt>
                <c:pt idx="41">
                  <c:v>7.5961854653074647</c:v>
                </c:pt>
                <c:pt idx="42">
                  <c:v>7.5961854653074647</c:v>
                </c:pt>
                <c:pt idx="43">
                  <c:v>7.5633015455442285</c:v>
                </c:pt>
                <c:pt idx="44">
                  <c:v>7.5633015455442285</c:v>
                </c:pt>
                <c:pt idx="45">
                  <c:v>7.5633015455442285</c:v>
                </c:pt>
                <c:pt idx="46">
                  <c:v>7.5633015455442285</c:v>
                </c:pt>
                <c:pt idx="47">
                  <c:v>7.5304176257809932</c:v>
                </c:pt>
                <c:pt idx="48">
                  <c:v>7.4975337060177569</c:v>
                </c:pt>
                <c:pt idx="49">
                  <c:v>7.4975337060177569</c:v>
                </c:pt>
                <c:pt idx="50">
                  <c:v>7.4975337060177569</c:v>
                </c:pt>
                <c:pt idx="51">
                  <c:v>7.4646497862545216</c:v>
                </c:pt>
                <c:pt idx="52">
                  <c:v>7.4646497862545216</c:v>
                </c:pt>
                <c:pt idx="53">
                  <c:v>7.4317658664912853</c:v>
                </c:pt>
                <c:pt idx="54">
                  <c:v>7.39888194672805</c:v>
                </c:pt>
              </c:numCache>
            </c:numRef>
          </c:xVal>
          <c:yVal>
            <c:numRef>
              <c:f>'Input Heifer Data'!$I$2:$I$56</c:f>
              <c:numCache>
                <c:formatCode>0.0</c:formatCode>
                <c:ptCount val="55"/>
                <c:pt idx="0">
                  <c:v>37.051282051282051</c:v>
                </c:pt>
                <c:pt idx="1">
                  <c:v>36.025641025641022</c:v>
                </c:pt>
                <c:pt idx="2">
                  <c:v>36.794871794871796</c:v>
                </c:pt>
                <c:pt idx="3">
                  <c:v>31.92307692307692</c:v>
                </c:pt>
                <c:pt idx="4">
                  <c:v>36.666666666666664</c:v>
                </c:pt>
                <c:pt idx="5">
                  <c:v>29.743589743589745</c:v>
                </c:pt>
                <c:pt idx="6">
                  <c:v>37.307692307692307</c:v>
                </c:pt>
                <c:pt idx="7">
                  <c:v>34.230769230769234</c:v>
                </c:pt>
                <c:pt idx="8">
                  <c:v>34.230769230769234</c:v>
                </c:pt>
                <c:pt idx="9">
                  <c:v>40.256410256410255</c:v>
                </c:pt>
                <c:pt idx="10">
                  <c:v>39.230769230769234</c:v>
                </c:pt>
                <c:pt idx="11">
                  <c:v>37.179487179487182</c:v>
                </c:pt>
                <c:pt idx="12">
                  <c:v>32.307692307692307</c:v>
                </c:pt>
                <c:pt idx="13">
                  <c:v>30</c:v>
                </c:pt>
                <c:pt idx="14">
                  <c:v>41.025641025641022</c:v>
                </c:pt>
                <c:pt idx="15">
                  <c:v>33.333333333333329</c:v>
                </c:pt>
                <c:pt idx="16">
                  <c:v>36.923076923076927</c:v>
                </c:pt>
                <c:pt idx="17">
                  <c:v>32.307692307692307</c:v>
                </c:pt>
                <c:pt idx="18">
                  <c:v>38.205128205128204</c:v>
                </c:pt>
                <c:pt idx="19">
                  <c:v>38.076923076923073</c:v>
                </c:pt>
                <c:pt idx="20">
                  <c:v>33.717948717948723</c:v>
                </c:pt>
                <c:pt idx="21">
                  <c:v>36.153846153846153</c:v>
                </c:pt>
                <c:pt idx="22">
                  <c:v>32.948717948717949</c:v>
                </c:pt>
                <c:pt idx="23">
                  <c:v>38.846153846153847</c:v>
                </c:pt>
                <c:pt idx="24">
                  <c:v>36.153846153846153</c:v>
                </c:pt>
                <c:pt idx="25">
                  <c:v>37.564102564102562</c:v>
                </c:pt>
                <c:pt idx="26">
                  <c:v>34.487179487179489</c:v>
                </c:pt>
                <c:pt idx="27">
                  <c:v>36.410256410256409</c:v>
                </c:pt>
                <c:pt idx="28">
                  <c:v>31.794871794871792</c:v>
                </c:pt>
                <c:pt idx="29">
                  <c:v>39.615384615384613</c:v>
                </c:pt>
                <c:pt idx="30">
                  <c:v>29.102564102564106</c:v>
                </c:pt>
                <c:pt idx="31">
                  <c:v>35</c:v>
                </c:pt>
                <c:pt idx="32">
                  <c:v>34.743589743589745</c:v>
                </c:pt>
                <c:pt idx="33">
                  <c:v>35</c:v>
                </c:pt>
                <c:pt idx="34">
                  <c:v>34.743589743589745</c:v>
                </c:pt>
                <c:pt idx="35">
                  <c:v>29.230769230769234</c:v>
                </c:pt>
                <c:pt idx="36">
                  <c:v>31.538461538461537</c:v>
                </c:pt>
                <c:pt idx="37">
                  <c:v>33.717948717948723</c:v>
                </c:pt>
                <c:pt idx="38">
                  <c:v>35</c:v>
                </c:pt>
                <c:pt idx="39">
                  <c:v>38.076923076923073</c:v>
                </c:pt>
                <c:pt idx="40">
                  <c:v>35.769230769230766</c:v>
                </c:pt>
                <c:pt idx="41">
                  <c:v>30.897435897435898</c:v>
                </c:pt>
                <c:pt idx="42">
                  <c:v>35</c:v>
                </c:pt>
                <c:pt idx="43">
                  <c:v>30.897435897435898</c:v>
                </c:pt>
                <c:pt idx="44">
                  <c:v>37.692307692307693</c:v>
                </c:pt>
                <c:pt idx="45">
                  <c:v>32.051282051282051</c:v>
                </c:pt>
                <c:pt idx="46">
                  <c:v>35.256410256410255</c:v>
                </c:pt>
                <c:pt idx="47">
                  <c:v>38.589743589743591</c:v>
                </c:pt>
                <c:pt idx="48">
                  <c:v>29.230769230769234</c:v>
                </c:pt>
                <c:pt idx="49">
                  <c:v>38.974358974358978</c:v>
                </c:pt>
                <c:pt idx="50">
                  <c:v>33.205128205128204</c:v>
                </c:pt>
                <c:pt idx="51">
                  <c:v>34.102564102564102</c:v>
                </c:pt>
                <c:pt idx="52">
                  <c:v>36.538461538461533</c:v>
                </c:pt>
                <c:pt idx="53">
                  <c:v>34.615384615384613</c:v>
                </c:pt>
                <c:pt idx="54">
                  <c:v>35.641025641025642</c:v>
                </c:pt>
              </c:numCache>
            </c:numRef>
          </c:yVal>
          <c:smooth val="0"/>
          <c:extLst>
            <c:ext xmlns:c16="http://schemas.microsoft.com/office/drawing/2014/chart" uri="{C3380CC4-5D6E-409C-BE32-E72D297353CC}">
              <c16:uniqueId val="{00000000-4381-4E72-8BBE-367E733502EA}"/>
            </c:ext>
          </c:extLst>
        </c:ser>
        <c:ser>
          <c:idx val="0"/>
          <c:order val="1"/>
          <c:tx>
            <c:v>Target % of MBW</c:v>
          </c:tx>
          <c:spPr>
            <a:ln w="101600">
              <a:solidFill>
                <a:schemeClr val="accent3">
                  <a:lumMod val="60000"/>
                  <a:lumOff val="40000"/>
                </a:schemeClr>
              </a:solidFill>
            </a:ln>
            <a:effectLst>
              <a:outerShdw blurRad="50800" dist="38100" dir="2700000" algn="tl" rotWithShape="0">
                <a:prstClr val="black">
                  <a:alpha val="40000"/>
                </a:prstClr>
              </a:outerShdw>
            </a:effectLst>
          </c:spPr>
          <c:marker>
            <c:symbol val="none"/>
          </c:marker>
          <c:xVal>
            <c:numRef>
              <c:f>'Custom Table'!$A$6:$A$34</c:f>
              <c:numCache>
                <c:formatCode>General</c:formatCode>
                <c:ptCount val="2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numCache>
            </c:numRef>
          </c:xVal>
          <c:yVal>
            <c:numRef>
              <c:f>'Custom Table'!$D$6:$D$34</c:f>
              <c:numCache>
                <c:formatCode>0.00</c:formatCode>
                <c:ptCount val="29"/>
                <c:pt idx="0">
                  <c:v>5.2564102564102564</c:v>
                </c:pt>
                <c:pt idx="1">
                  <c:v>7.2562641025641028</c:v>
                </c:pt>
                <c:pt idx="2">
                  <c:v>9.2561179487179501</c:v>
                </c:pt>
                <c:pt idx="3">
                  <c:v>13.491423449844877</c:v>
                </c:pt>
                <c:pt idx="4">
                  <c:v>17.726728950971808</c:v>
                </c:pt>
                <c:pt idx="5">
                  <c:v>21.962034452098735</c:v>
                </c:pt>
                <c:pt idx="6">
                  <c:v>26.197339953225661</c:v>
                </c:pt>
                <c:pt idx="7">
                  <c:v>30.432645454352592</c:v>
                </c:pt>
                <c:pt idx="8">
                  <c:v>34.667950955479519</c:v>
                </c:pt>
                <c:pt idx="9">
                  <c:v>38.903256456606449</c:v>
                </c:pt>
                <c:pt idx="10">
                  <c:v>43.138561957733373</c:v>
                </c:pt>
                <c:pt idx="11">
                  <c:v>47.373867458860303</c:v>
                </c:pt>
                <c:pt idx="12">
                  <c:v>51.609172959987234</c:v>
                </c:pt>
                <c:pt idx="13">
                  <c:v>55.799651069633136</c:v>
                </c:pt>
                <c:pt idx="14">
                  <c:v>59.990129179279052</c:v>
                </c:pt>
                <c:pt idx="15">
                  <c:v>64.180607288924946</c:v>
                </c:pt>
                <c:pt idx="16">
                  <c:v>68.37108539857087</c:v>
                </c:pt>
                <c:pt idx="17">
                  <c:v>72.561563508216778</c:v>
                </c:pt>
                <c:pt idx="18">
                  <c:v>76.752041617862687</c:v>
                </c:pt>
                <c:pt idx="19">
                  <c:v>80.942519727508596</c:v>
                </c:pt>
                <c:pt idx="20">
                  <c:v>85.132997837154505</c:v>
                </c:pt>
                <c:pt idx="21">
                  <c:v>89.323475946800428</c:v>
                </c:pt>
                <c:pt idx="22">
                  <c:v>93.513954056446352</c:v>
                </c:pt>
                <c:pt idx="23">
                  <c:v>86.171802972197</c:v>
                </c:pt>
                <c:pt idx="24">
                  <c:v>87.343605944393985</c:v>
                </c:pt>
                <c:pt idx="25">
                  <c:v>88.515408916590971</c:v>
                </c:pt>
                <c:pt idx="26">
                  <c:v>89.687211888787971</c:v>
                </c:pt>
                <c:pt idx="27">
                  <c:v>90.859014860984971</c:v>
                </c:pt>
                <c:pt idx="28">
                  <c:v>92.03081783318197</c:v>
                </c:pt>
              </c:numCache>
            </c:numRef>
          </c:yVal>
          <c:smooth val="0"/>
          <c:extLst>
            <c:ext xmlns:c16="http://schemas.microsoft.com/office/drawing/2014/chart" uri="{C3380CC4-5D6E-409C-BE32-E72D297353CC}">
              <c16:uniqueId val="{00000001-4381-4E72-8BBE-367E733502EA}"/>
            </c:ext>
          </c:extLst>
        </c:ser>
        <c:ser>
          <c:idx val="4"/>
          <c:order val="2"/>
          <c:tx>
            <c:v>Target % of MHt</c:v>
          </c:tx>
          <c:spPr>
            <a:ln>
              <a:noFill/>
            </a:ln>
          </c:spPr>
          <c:marker>
            <c:symbol val="none"/>
          </c:marker>
          <c:trendline>
            <c:name>Target % of MHt</c:name>
            <c:spPr>
              <a:ln w="101600">
                <a:solidFill>
                  <a:srgbClr val="4F81BD">
                    <a:alpha val="50000"/>
                  </a:srgbClr>
                </a:solidFill>
              </a:ln>
              <a:effectLst>
                <a:outerShdw blurRad="50800" dist="38100" dir="2700000" algn="tl" rotWithShape="0">
                  <a:prstClr val="black">
                    <a:alpha val="40000"/>
                  </a:prstClr>
                </a:outerShdw>
              </a:effectLst>
            </c:spPr>
            <c:trendlineType val="poly"/>
            <c:order val="2"/>
            <c:dispRSqr val="0"/>
            <c:dispEq val="0"/>
          </c:trendline>
          <c:xVal>
            <c:numRef>
              <c:f>'Custom Table'!$A$6:$A$34</c:f>
              <c:numCache>
                <c:formatCode>General</c:formatCode>
                <c:ptCount val="2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numCache>
            </c:numRef>
          </c:xVal>
          <c:yVal>
            <c:numRef>
              <c:f>'Custom Table'!$F$6:$F$34</c:f>
              <c:numCache>
                <c:formatCode>0.0</c:formatCode>
                <c:ptCount val="29"/>
                <c:pt idx="0">
                  <c:v>55.000000000000007</c:v>
                </c:pt>
                <c:pt idx="1">
                  <c:v>58.416666666666686</c:v>
                </c:pt>
                <c:pt idx="2">
                  <c:v>61.83333333333335</c:v>
                </c:pt>
                <c:pt idx="3">
                  <c:v>65.250000000000014</c:v>
                </c:pt>
                <c:pt idx="4">
                  <c:v>68.6666666666667</c:v>
                </c:pt>
                <c:pt idx="5">
                  <c:v>72.083333333333371</c:v>
                </c:pt>
                <c:pt idx="6">
                  <c:v>75.500000000000028</c:v>
                </c:pt>
                <c:pt idx="7">
                  <c:v>77.208333333333385</c:v>
                </c:pt>
                <c:pt idx="8">
                  <c:v>78.916666666666714</c:v>
                </c:pt>
                <c:pt idx="9">
                  <c:v>80.625000000000043</c:v>
                </c:pt>
                <c:pt idx="10">
                  <c:v>82.333333333333385</c:v>
                </c:pt>
                <c:pt idx="11">
                  <c:v>84.041666666666714</c:v>
                </c:pt>
                <c:pt idx="12">
                  <c:v>85.750000000000057</c:v>
                </c:pt>
                <c:pt idx="13">
                  <c:v>86.775000000000063</c:v>
                </c:pt>
                <c:pt idx="14">
                  <c:v>87.800000000000054</c:v>
                </c:pt>
                <c:pt idx="15">
                  <c:v>88.82500000000006</c:v>
                </c:pt>
                <c:pt idx="16">
                  <c:v>89.85000000000008</c:v>
                </c:pt>
                <c:pt idx="17">
                  <c:v>90.875000000000085</c:v>
                </c:pt>
                <c:pt idx="18">
                  <c:v>91.900000000000091</c:v>
                </c:pt>
                <c:pt idx="19">
                  <c:v>92.925000000000097</c:v>
                </c:pt>
                <c:pt idx="20">
                  <c:v>93.950000000000102</c:v>
                </c:pt>
                <c:pt idx="21">
                  <c:v>94.975000000000108</c:v>
                </c:pt>
                <c:pt idx="22">
                  <c:v>96.000000000000114</c:v>
                </c:pt>
                <c:pt idx="23">
                  <c:v>96.07407407407419</c:v>
                </c:pt>
                <c:pt idx="24">
                  <c:v>96.148148148148266</c:v>
                </c:pt>
                <c:pt idx="25">
                  <c:v>96.222222222222328</c:v>
                </c:pt>
                <c:pt idx="26">
                  <c:v>96.296296296296404</c:v>
                </c:pt>
                <c:pt idx="27">
                  <c:v>96.370370370370466</c:v>
                </c:pt>
                <c:pt idx="28">
                  <c:v>96.444444444444542</c:v>
                </c:pt>
              </c:numCache>
            </c:numRef>
          </c:yVal>
          <c:smooth val="0"/>
          <c:extLst>
            <c:ext xmlns:c16="http://schemas.microsoft.com/office/drawing/2014/chart" uri="{C3380CC4-5D6E-409C-BE32-E72D297353CC}">
              <c16:uniqueId val="{00000003-4381-4E72-8BBE-367E733502EA}"/>
            </c:ext>
          </c:extLst>
        </c:ser>
        <c:ser>
          <c:idx val="5"/>
          <c:order val="3"/>
          <c:tx>
            <c:v>Your Heifers Ht</c:v>
          </c:tx>
          <c:spPr>
            <a:ln>
              <a:noFill/>
            </a:ln>
          </c:spPr>
          <c:marker>
            <c:symbol val="circle"/>
            <c:size val="8"/>
            <c:spPr>
              <a:solidFill>
                <a:schemeClr val="accent1">
                  <a:lumMod val="75000"/>
                </a:schemeClr>
              </a:solidFill>
              <a:ln>
                <a:solidFill>
                  <a:schemeClr val="accent1">
                    <a:lumMod val="75000"/>
                  </a:schemeClr>
                </a:solidFill>
              </a:ln>
            </c:spPr>
          </c:marker>
          <c:xVal>
            <c:numRef>
              <c:f>'Input Heifer Data'!$H$2:$H$26</c:f>
              <c:numCache>
                <c:formatCode>0.0</c:formatCode>
                <c:ptCount val="25"/>
                <c:pt idx="0">
                  <c:v>8.2867477803354159</c:v>
                </c:pt>
                <c:pt idx="1">
                  <c:v>8.2538638605721797</c:v>
                </c:pt>
                <c:pt idx="2">
                  <c:v>8.1552121012824728</c:v>
                </c:pt>
                <c:pt idx="3">
                  <c:v>8.1223281815192365</c:v>
                </c:pt>
                <c:pt idx="4">
                  <c:v>8.1223281815192365</c:v>
                </c:pt>
                <c:pt idx="5">
                  <c:v>8.0894442617560021</c:v>
                </c:pt>
                <c:pt idx="6">
                  <c:v>8.0894442617560021</c:v>
                </c:pt>
                <c:pt idx="7">
                  <c:v>8.0894442617560021</c:v>
                </c:pt>
                <c:pt idx="8">
                  <c:v>8.0894442617560021</c:v>
                </c:pt>
                <c:pt idx="9">
                  <c:v>8.0565603419927658</c:v>
                </c:pt>
                <c:pt idx="10">
                  <c:v>8.0565603419927658</c:v>
                </c:pt>
                <c:pt idx="11">
                  <c:v>8.0565603419927658</c:v>
                </c:pt>
                <c:pt idx="12">
                  <c:v>8.0236764222295296</c:v>
                </c:pt>
                <c:pt idx="13">
                  <c:v>7.9907925024662942</c:v>
                </c:pt>
                <c:pt idx="14">
                  <c:v>7.957908582703058</c:v>
                </c:pt>
                <c:pt idx="15">
                  <c:v>7.9250246629398227</c:v>
                </c:pt>
                <c:pt idx="16">
                  <c:v>7.9250246629398227</c:v>
                </c:pt>
                <c:pt idx="17">
                  <c:v>7.9250246629398227</c:v>
                </c:pt>
                <c:pt idx="18">
                  <c:v>7.9250246629398227</c:v>
                </c:pt>
                <c:pt idx="19">
                  <c:v>7.8921407431765864</c:v>
                </c:pt>
                <c:pt idx="20">
                  <c:v>7.8921407431765864</c:v>
                </c:pt>
                <c:pt idx="21">
                  <c:v>7.8921407431765864</c:v>
                </c:pt>
                <c:pt idx="22">
                  <c:v>7.7934889838868795</c:v>
                </c:pt>
                <c:pt idx="23">
                  <c:v>7.7934889838868795</c:v>
                </c:pt>
                <c:pt idx="24">
                  <c:v>7.7934889838868795</c:v>
                </c:pt>
              </c:numCache>
            </c:numRef>
          </c:xVal>
          <c:yVal>
            <c:numRef>
              <c:f>'Input Heifer Data'!$J$2:$J$26</c:f>
              <c:numCache>
                <c:formatCode>0.0</c:formatCode>
                <c:ptCount val="25"/>
                <c:pt idx="0">
                  <c:v>85.833333333333329</c:v>
                </c:pt>
                <c:pt idx="1">
                  <c:v>83.75</c:v>
                </c:pt>
                <c:pt idx="2">
                  <c:v>88.75</c:v>
                </c:pt>
                <c:pt idx="3">
                  <c:v>87.083333333333329</c:v>
                </c:pt>
                <c:pt idx="4">
                  <c:v>87.916666666666671</c:v>
                </c:pt>
                <c:pt idx="5">
                  <c:v>86.25</c:v>
                </c:pt>
                <c:pt idx="6">
                  <c:v>86.666666666666671</c:v>
                </c:pt>
                <c:pt idx="7">
                  <c:v>86.666666666666671</c:v>
                </c:pt>
                <c:pt idx="8">
                  <c:v>86.666666666666671</c:v>
                </c:pt>
                <c:pt idx="9">
                  <c:v>84.583333333333329</c:v>
                </c:pt>
                <c:pt idx="10">
                  <c:v>88.75</c:v>
                </c:pt>
                <c:pt idx="11">
                  <c:v>87.499999999999986</c:v>
                </c:pt>
                <c:pt idx="12">
                  <c:v>91.666666666666657</c:v>
                </c:pt>
                <c:pt idx="13">
                  <c:v>87.499999999999986</c:v>
                </c:pt>
                <c:pt idx="14">
                  <c:v>76.666666666666657</c:v>
                </c:pt>
                <c:pt idx="15">
                  <c:v>80</c:v>
                </c:pt>
                <c:pt idx="16">
                  <c:v>80</c:v>
                </c:pt>
                <c:pt idx="17">
                  <c:v>78.333333333333329</c:v>
                </c:pt>
                <c:pt idx="18">
                  <c:v>78.333333333333329</c:v>
                </c:pt>
                <c:pt idx="19">
                  <c:v>78.333333333333329</c:v>
                </c:pt>
                <c:pt idx="20">
                  <c:v>81.666666666666671</c:v>
                </c:pt>
                <c:pt idx="21">
                  <c:v>85.833333333333329</c:v>
                </c:pt>
                <c:pt idx="22">
                  <c:v>86.666666666666671</c:v>
                </c:pt>
                <c:pt idx="23">
                  <c:v>84.166666666666671</c:v>
                </c:pt>
                <c:pt idx="24">
                  <c:v>86.666666666666671</c:v>
                </c:pt>
              </c:numCache>
            </c:numRef>
          </c:yVal>
          <c:smooth val="0"/>
          <c:extLst>
            <c:ext xmlns:c16="http://schemas.microsoft.com/office/drawing/2014/chart" uri="{C3380CC4-5D6E-409C-BE32-E72D297353CC}">
              <c16:uniqueId val="{00000004-4381-4E72-8BBE-367E733502EA}"/>
            </c:ext>
          </c:extLst>
        </c:ser>
        <c:dLbls>
          <c:showLegendKey val="0"/>
          <c:showVal val="0"/>
          <c:showCatName val="0"/>
          <c:showSerName val="0"/>
          <c:showPercent val="0"/>
          <c:showBubbleSize val="0"/>
        </c:dLbls>
        <c:axId val="786904608"/>
        <c:axId val="786905168"/>
      </c:scatterChart>
      <c:valAx>
        <c:axId val="786904608"/>
        <c:scaling>
          <c:orientation val="minMax"/>
          <c:max val="28"/>
        </c:scaling>
        <c:delete val="0"/>
        <c:axPos val="b"/>
        <c:title>
          <c:tx>
            <c:rich>
              <a:bodyPr/>
              <a:lstStyle/>
              <a:p>
                <a:pPr>
                  <a:defRPr sz="2000"/>
                </a:pPr>
                <a:r>
                  <a:rPr lang="en-US" sz="2000"/>
                  <a:t>Age, months</a:t>
                </a:r>
              </a:p>
            </c:rich>
          </c:tx>
          <c:layout>
            <c:manualLayout>
              <c:xMode val="edge"/>
              <c:yMode val="edge"/>
              <c:x val="0.46532685721218514"/>
              <c:y val="0.94464499893796039"/>
            </c:manualLayout>
          </c:layout>
          <c:overlay val="0"/>
        </c:title>
        <c:numFmt formatCode="0" sourceLinked="0"/>
        <c:majorTickMark val="out"/>
        <c:minorTickMark val="none"/>
        <c:tickLblPos val="nextTo"/>
        <c:txPr>
          <a:bodyPr/>
          <a:lstStyle/>
          <a:p>
            <a:pPr>
              <a:defRPr sz="1800"/>
            </a:pPr>
            <a:endParaRPr lang="de-DE"/>
          </a:p>
        </c:txPr>
        <c:crossAx val="786905168"/>
        <c:crosses val="autoZero"/>
        <c:crossBetween val="midCat"/>
        <c:majorUnit val="2"/>
      </c:valAx>
      <c:valAx>
        <c:axId val="786905168"/>
        <c:scaling>
          <c:orientation val="minMax"/>
          <c:max val="100"/>
        </c:scaling>
        <c:delete val="0"/>
        <c:axPos val="l"/>
        <c:majorGridlines/>
        <c:title>
          <c:tx>
            <c:rich>
              <a:bodyPr rot="-5400000" vert="horz"/>
              <a:lstStyle/>
              <a:p>
                <a:pPr>
                  <a:defRPr sz="2000"/>
                </a:pPr>
                <a:r>
                  <a:rPr lang="en-US" sz="2000"/>
                  <a:t>Percent of Mature Size</a:t>
                </a:r>
              </a:p>
            </c:rich>
          </c:tx>
          <c:layout>
            <c:manualLayout>
              <c:xMode val="edge"/>
              <c:yMode val="edge"/>
              <c:x val="0"/>
              <c:y val="0.21532122565735171"/>
            </c:manualLayout>
          </c:layout>
          <c:overlay val="0"/>
        </c:title>
        <c:numFmt formatCode="0" sourceLinked="0"/>
        <c:majorTickMark val="out"/>
        <c:minorTickMark val="none"/>
        <c:tickLblPos val="nextTo"/>
        <c:txPr>
          <a:bodyPr/>
          <a:lstStyle/>
          <a:p>
            <a:pPr>
              <a:defRPr sz="1800"/>
            </a:pPr>
            <a:endParaRPr lang="de-DE"/>
          </a:p>
        </c:txPr>
        <c:crossAx val="786904608"/>
        <c:crosses val="autoZero"/>
        <c:crossBetween val="midCat"/>
      </c:valAx>
      <c:spPr>
        <a:ln>
          <a:solidFill>
            <a:schemeClr val="tx1">
              <a:lumMod val="50000"/>
              <a:lumOff val="50000"/>
            </a:schemeClr>
          </a:solidFill>
        </a:ln>
      </c:spPr>
    </c:plotArea>
    <c:legend>
      <c:legendPos val="r"/>
      <c:legendEntry>
        <c:idx val="2"/>
        <c:delete val="1"/>
      </c:legendEntry>
      <c:layout>
        <c:manualLayout>
          <c:xMode val="edge"/>
          <c:yMode val="edge"/>
          <c:x val="0.39232778590731981"/>
          <c:y val="0.10923248230334845"/>
          <c:w val="0.5790662091436618"/>
          <c:h val="2.7222778970810466E-2"/>
        </c:manualLayout>
      </c:layout>
      <c:overlay val="1"/>
      <c:spPr>
        <a:solidFill>
          <a:schemeClr val="bg1"/>
        </a:solidFill>
      </c:spPr>
    </c:legend>
    <c:plotVisOnly val="1"/>
    <c:dispBlanksAs val="gap"/>
    <c:showDLblsOverMax val="0"/>
  </c:chart>
  <c:spPr>
    <a:ln>
      <a:noFill/>
    </a:ln>
  </c:spPr>
  <c:userShapes r:id="rId1"/>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4.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6.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8.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300-000000000000}">
  <sheetPr/>
  <sheetViews>
    <sheetView tabSelected="1" zoomScale="70" workbookViewId="0"/>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110" workbookViewId="0"/>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500-000000000000}">
  <sheetPr/>
  <sheetViews>
    <sheetView zoomScale="110"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chart" Target="../charts/chart3.xml"/></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192280</xdr:colOff>
      <xdr:row>0</xdr:row>
      <xdr:rowOff>0</xdr:rowOff>
    </xdr:from>
    <xdr:to>
      <xdr:col>5</xdr:col>
      <xdr:colOff>71571</xdr:colOff>
      <xdr:row>1</xdr:row>
      <xdr:rowOff>129274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2280" y="0"/>
          <a:ext cx="3432116" cy="101509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371475</xdr:colOff>
      <xdr:row>0</xdr:row>
      <xdr:rowOff>38100</xdr:rowOff>
    </xdr:from>
    <xdr:to>
      <xdr:col>7</xdr:col>
      <xdr:colOff>145012</xdr:colOff>
      <xdr:row>1</xdr:row>
      <xdr:rowOff>9811</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6818"/>
        <a:stretch/>
      </xdr:blipFill>
      <xdr:spPr>
        <a:xfrm>
          <a:off x="981075" y="38100"/>
          <a:ext cx="3431137" cy="84801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76200</xdr:colOff>
      <xdr:row>0</xdr:row>
      <xdr:rowOff>19050</xdr:rowOff>
    </xdr:from>
    <xdr:to>
      <xdr:col>5</xdr:col>
      <xdr:colOff>459337</xdr:colOff>
      <xdr:row>1</xdr:row>
      <xdr:rowOff>38386</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6818"/>
        <a:stretch/>
      </xdr:blipFill>
      <xdr:spPr>
        <a:xfrm>
          <a:off x="76200" y="19050"/>
          <a:ext cx="3431137" cy="84801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0" y="0"/>
    <xdr:ext cx="9293679" cy="6068786"/>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c:userShapes xmlns:c="http://schemas.openxmlformats.org/drawingml/2006/chart">
  <cdr:relSizeAnchor xmlns:cdr="http://schemas.openxmlformats.org/drawingml/2006/chartDrawing">
    <cdr:from>
      <cdr:x>0.00587</cdr:x>
      <cdr:y>0.00808</cdr:y>
    </cdr:from>
    <cdr:to>
      <cdr:x>0.303</cdr:x>
      <cdr:y>0.10923</cdr:y>
    </cdr:to>
    <cdr:pic>
      <cdr:nvPicPr>
        <cdr:cNvPr id="4" name="Picture 3">
          <a:extLst xmlns:a="http://schemas.openxmlformats.org/drawingml/2006/main">
            <a:ext uri="{FF2B5EF4-FFF2-40B4-BE49-F238E27FC236}">
              <a16:creationId xmlns:a16="http://schemas.microsoft.com/office/drawing/2014/main" id="{2AF0AA10-BF10-F6E3-021A-07CA2F73BC01}"/>
            </a:ext>
          </a:extLst>
        </cdr:cNvPr>
        <cdr:cNvPicPr>
          <a:picLocks xmlns:a="http://schemas.openxmlformats.org/drawingml/2006/main" noChangeAspect="1"/>
        </cdr:cNvPicPr>
      </cdr:nvPicPr>
      <cdr:blipFill rotWithShape="1">
        <a:blip xmlns:a="http://schemas.openxmlformats.org/drawingml/2006/main" xmlns:r="http://schemas.openxmlformats.org/officeDocument/2006/relationships" r:embed="rId1" cstate="print">
          <a:extLst>
            <a:ext uri="{28A0092B-C50C-407E-A947-70E740481C1C}">
              <a14:useLocalDpi xmlns:a14="http://schemas.microsoft.com/office/drawing/2010/main" val="0"/>
            </a:ext>
          </a:extLst>
        </a:blip>
        <a:srcRect xmlns:a="http://schemas.openxmlformats.org/drawingml/2006/main" t="16818"/>
        <a:stretch xmlns:a="http://schemas.openxmlformats.org/drawingml/2006/main"/>
      </cdr:blipFill>
      <cdr:spPr>
        <a:xfrm xmlns:a="http://schemas.openxmlformats.org/drawingml/2006/main">
          <a:off x="50800" y="50800"/>
          <a:ext cx="2572905" cy="635898"/>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absoluteAnchor>
    <xdr:pos x="0" y="0"/>
    <xdr:ext cx="9291205" cy="6070023"/>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c:userShapes xmlns:c="http://schemas.openxmlformats.org/drawingml/2006/chart">
  <cdr:relSizeAnchor xmlns:cdr="http://schemas.openxmlformats.org/drawingml/2006/chartDrawing">
    <cdr:from>
      <cdr:x>0.00587</cdr:x>
      <cdr:y>0.00808</cdr:y>
    </cdr:from>
    <cdr:to>
      <cdr:x>0.303</cdr:x>
      <cdr:y>0.10923</cdr:y>
    </cdr:to>
    <cdr:pic>
      <cdr:nvPicPr>
        <cdr:cNvPr id="4" name="Picture 3">
          <a:extLst xmlns:a="http://schemas.openxmlformats.org/drawingml/2006/main">
            <a:ext uri="{FF2B5EF4-FFF2-40B4-BE49-F238E27FC236}">
              <a16:creationId xmlns:a16="http://schemas.microsoft.com/office/drawing/2014/main" id="{E967FEC4-72CF-298E-E4A0-B5657E548984}"/>
            </a:ext>
          </a:extLst>
        </cdr:cNvPr>
        <cdr:cNvPicPr>
          <a:picLocks xmlns:a="http://schemas.openxmlformats.org/drawingml/2006/main" noChangeAspect="1"/>
        </cdr:cNvPicPr>
      </cdr:nvPicPr>
      <cdr:blipFill rotWithShape="1">
        <a:blip xmlns:a="http://schemas.openxmlformats.org/drawingml/2006/main" xmlns:r="http://schemas.openxmlformats.org/officeDocument/2006/relationships" r:embed="rId1" cstate="print">
          <a:extLst>
            <a:ext uri="{28A0092B-C50C-407E-A947-70E740481C1C}">
              <a14:useLocalDpi xmlns:a14="http://schemas.microsoft.com/office/drawing/2010/main" val="0"/>
            </a:ext>
          </a:extLst>
        </a:blip>
        <a:srcRect xmlns:a="http://schemas.openxmlformats.org/drawingml/2006/main" t="16818"/>
        <a:stretch xmlns:a="http://schemas.openxmlformats.org/drawingml/2006/main"/>
      </cdr:blipFill>
      <cdr:spPr>
        <a:xfrm xmlns:a="http://schemas.openxmlformats.org/drawingml/2006/main">
          <a:off x="50800" y="50800"/>
          <a:ext cx="2572905" cy="635898"/>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absoluteAnchor>
    <xdr:pos x="0" y="0"/>
    <xdr:ext cx="9291205" cy="6070023"/>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c:userShapes xmlns:c="http://schemas.openxmlformats.org/drawingml/2006/chart">
  <cdr:relSizeAnchor xmlns:cdr="http://schemas.openxmlformats.org/drawingml/2006/chartDrawing">
    <cdr:from>
      <cdr:x>0</cdr:x>
      <cdr:y>0</cdr:y>
    </cdr:from>
    <cdr:to>
      <cdr:x>0.281</cdr:x>
      <cdr:y>0.10115</cdr:y>
    </cdr:to>
    <cdr:pic>
      <cdr:nvPicPr>
        <cdr:cNvPr id="4" name="Picture 3">
          <a:extLst xmlns:a="http://schemas.openxmlformats.org/drawingml/2006/main">
            <a:ext uri="{FF2B5EF4-FFF2-40B4-BE49-F238E27FC236}">
              <a16:creationId xmlns:a16="http://schemas.microsoft.com/office/drawing/2014/main" id="{E253759E-621B-3764-E8DF-1411FF4FDCD1}"/>
            </a:ext>
          </a:extLst>
        </cdr:cNvPr>
        <cdr:cNvPicPr>
          <a:picLocks xmlns:a="http://schemas.openxmlformats.org/drawingml/2006/main" noChangeAspect="1"/>
        </cdr:cNvPicPr>
      </cdr:nvPicPr>
      <cdr:blipFill rotWithShape="1">
        <a:blip xmlns:a="http://schemas.openxmlformats.org/drawingml/2006/main" xmlns:r="http://schemas.openxmlformats.org/officeDocument/2006/relationships" r:embed="rId1" cstate="print">
          <a:extLst>
            <a:ext uri="{28A0092B-C50C-407E-A947-70E740481C1C}">
              <a14:useLocalDpi xmlns:a14="http://schemas.microsoft.com/office/drawing/2010/main" val="0"/>
            </a:ext>
          </a:extLst>
        </a:blip>
        <a:srcRect xmlns:a="http://schemas.openxmlformats.org/drawingml/2006/main" l="5430" t="16818"/>
        <a:stretch xmlns:a="http://schemas.openxmlformats.org/drawingml/2006/main"/>
      </cdr:blipFill>
      <cdr:spPr>
        <a:xfrm xmlns:a="http://schemas.openxmlformats.org/drawingml/2006/main">
          <a:off x="0" y="0"/>
          <a:ext cx="2433205" cy="635898"/>
        </a:xfrm>
        <a:prstGeom xmlns:a="http://schemas.openxmlformats.org/drawingml/2006/main" prst="rect">
          <a:avLst/>
        </a:prstGeom>
      </cdr:spPr>
    </cdr:pic>
  </cdr:relSizeAnchor>
</c:userShape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extension.psu.edu/animals/dairy" TargetMode="External"/><Relationship Id="rId1" Type="http://schemas.openxmlformats.org/officeDocument/2006/relationships/hyperlink" Target="mailto:cmj11@psu.edu"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26"/>
  <sheetViews>
    <sheetView zoomScale="107" workbookViewId="0">
      <selection activeCell="I4" sqref="I4:K4"/>
    </sheetView>
  </sheetViews>
  <sheetFormatPr defaultColWidth="12.42578125" defaultRowHeight="15" x14ac:dyDescent="0.25"/>
  <cols>
    <col min="1" max="1" width="12.42578125" style="43"/>
    <col min="2" max="2" width="4.7109375" style="43" customWidth="1"/>
    <col min="3" max="4" width="12.42578125" style="43"/>
    <col min="5" max="5" width="11.28515625" style="43" customWidth="1"/>
    <col min="6" max="6" width="3.7109375" style="43" customWidth="1"/>
    <col min="7" max="7" width="12.42578125" style="43"/>
    <col min="8" max="8" width="2.7109375" style="43" customWidth="1"/>
    <col min="9" max="9" width="12.42578125" style="43"/>
    <col min="10" max="10" width="1.7109375" style="43" customWidth="1"/>
    <col min="11" max="16384" width="12.42578125" style="43"/>
  </cols>
  <sheetData>
    <row r="1" spans="1:11" ht="69.95" customHeight="1" x14ac:dyDescent="0.25">
      <c r="A1" s="84"/>
      <c r="B1" s="84"/>
      <c r="C1" s="84"/>
      <c r="D1" s="84"/>
      <c r="E1" s="84"/>
      <c r="F1" s="84"/>
      <c r="G1" s="84"/>
      <c r="H1" s="84"/>
      <c r="I1" s="84"/>
      <c r="J1" s="84"/>
      <c r="K1" s="84"/>
    </row>
    <row r="2" spans="1:11" ht="35.1" customHeight="1" x14ac:dyDescent="0.25">
      <c r="A2" s="85" t="s">
        <v>26</v>
      </c>
      <c r="B2" s="85"/>
      <c r="C2" s="85"/>
      <c r="D2" s="85"/>
      <c r="E2" s="85"/>
      <c r="F2" s="85"/>
      <c r="G2" s="85"/>
      <c r="H2" s="85"/>
      <c r="I2" s="85"/>
      <c r="J2" s="85"/>
      <c r="K2" s="85"/>
    </row>
    <row r="3" spans="1:11" ht="15.95" customHeight="1" x14ac:dyDescent="0.25">
      <c r="A3" s="78" t="s">
        <v>65</v>
      </c>
      <c r="B3" s="78"/>
      <c r="C3" s="79" t="s">
        <v>66</v>
      </c>
      <c r="D3" s="79"/>
      <c r="E3" s="79"/>
      <c r="F3" s="79"/>
      <c r="G3" s="80" t="s">
        <v>67</v>
      </c>
      <c r="H3" s="80"/>
      <c r="I3" s="79" t="s">
        <v>88</v>
      </c>
      <c r="J3" s="79"/>
      <c r="K3" s="79"/>
    </row>
    <row r="4" spans="1:11" x14ac:dyDescent="0.25">
      <c r="A4" s="78" t="s">
        <v>68</v>
      </c>
      <c r="B4" s="78"/>
      <c r="C4" s="79" t="s">
        <v>69</v>
      </c>
      <c r="D4" s="79"/>
      <c r="E4" s="79"/>
      <c r="F4" s="79"/>
      <c r="G4" s="80" t="s">
        <v>70</v>
      </c>
      <c r="H4" s="80"/>
      <c r="I4" s="81">
        <v>42613</v>
      </c>
      <c r="J4" s="79"/>
      <c r="K4" s="79"/>
    </row>
    <row r="5" spans="1:11" x14ac:dyDescent="0.25">
      <c r="A5" s="78" t="s">
        <v>71</v>
      </c>
      <c r="B5" s="78"/>
      <c r="C5" s="82" t="s">
        <v>72</v>
      </c>
      <c r="D5" s="79"/>
      <c r="E5" s="79"/>
      <c r="F5" s="79"/>
      <c r="G5" s="83"/>
      <c r="H5" s="83"/>
      <c r="I5" s="83"/>
      <c r="J5" s="83"/>
      <c r="K5" s="83"/>
    </row>
    <row r="6" spans="1:11" x14ac:dyDescent="0.25">
      <c r="A6" s="78" t="s">
        <v>73</v>
      </c>
      <c r="B6" s="78"/>
      <c r="C6" s="82" t="s">
        <v>74</v>
      </c>
      <c r="D6" s="79"/>
      <c r="E6" s="79"/>
      <c r="F6" s="79"/>
      <c r="G6" s="83"/>
      <c r="H6" s="83"/>
      <c r="I6" s="83"/>
      <c r="J6" s="83"/>
      <c r="K6" s="83"/>
    </row>
    <row r="7" spans="1:11" ht="18" customHeight="1" x14ac:dyDescent="0.25">
      <c r="A7" s="75" t="s">
        <v>75</v>
      </c>
      <c r="B7" s="76"/>
      <c r="C7" s="76"/>
      <c r="D7" s="76"/>
      <c r="E7" s="76"/>
      <c r="F7" s="76"/>
      <c r="G7" s="76"/>
      <c r="H7" s="76"/>
      <c r="I7" s="76"/>
      <c r="J7" s="76"/>
      <c r="K7" s="77"/>
    </row>
    <row r="8" spans="1:11" ht="46.5" customHeight="1" x14ac:dyDescent="0.25">
      <c r="A8" s="60" t="s">
        <v>27</v>
      </c>
      <c r="B8" s="61"/>
      <c r="C8" s="61"/>
      <c r="D8" s="61"/>
      <c r="E8" s="61"/>
      <c r="F8" s="61"/>
      <c r="G8" s="61"/>
      <c r="H8" s="61"/>
      <c r="I8" s="61"/>
      <c r="J8" s="61"/>
      <c r="K8" s="62"/>
    </row>
    <row r="9" spans="1:11" ht="18" customHeight="1" x14ac:dyDescent="0.25">
      <c r="A9" s="75" t="s">
        <v>76</v>
      </c>
      <c r="B9" s="76"/>
      <c r="C9" s="76"/>
      <c r="D9" s="76"/>
      <c r="E9" s="76"/>
      <c r="F9" s="76"/>
      <c r="G9" s="76"/>
      <c r="H9" s="76"/>
      <c r="I9" s="76"/>
      <c r="J9" s="76"/>
      <c r="K9" s="77"/>
    </row>
    <row r="10" spans="1:11" x14ac:dyDescent="0.25">
      <c r="A10" s="69" t="s">
        <v>77</v>
      </c>
      <c r="B10" s="70"/>
      <c r="C10" s="70"/>
      <c r="D10" s="70"/>
      <c r="E10" s="70"/>
      <c r="F10" s="70"/>
      <c r="G10" s="70"/>
      <c r="H10" s="70"/>
      <c r="I10" s="70"/>
      <c r="J10" s="70"/>
      <c r="K10" s="71"/>
    </row>
    <row r="11" spans="1:11" ht="45.75" customHeight="1" x14ac:dyDescent="0.25">
      <c r="A11" s="54" t="s">
        <v>34</v>
      </c>
      <c r="B11" s="55"/>
      <c r="C11" s="55"/>
      <c r="D11" s="55"/>
      <c r="E11" s="55"/>
      <c r="F11" s="55"/>
      <c r="G11" s="55"/>
      <c r="H11" s="55"/>
      <c r="I11" s="55"/>
      <c r="J11" s="55"/>
      <c r="K11" s="56"/>
    </row>
    <row r="12" spans="1:11" ht="17.25" customHeight="1" x14ac:dyDescent="0.25">
      <c r="A12" s="54" t="s">
        <v>28</v>
      </c>
      <c r="B12" s="55"/>
      <c r="C12" s="55"/>
      <c r="D12" s="55"/>
      <c r="E12" s="55"/>
      <c r="F12" s="55"/>
      <c r="G12" s="55"/>
      <c r="H12" s="55"/>
      <c r="I12" s="55"/>
      <c r="J12" s="55"/>
      <c r="K12" s="56"/>
    </row>
    <row r="13" spans="1:11" ht="28.5" customHeight="1" x14ac:dyDescent="0.25">
      <c r="A13" s="54" t="s">
        <v>61</v>
      </c>
      <c r="B13" s="55"/>
      <c r="C13" s="55"/>
      <c r="D13" s="55"/>
      <c r="E13" s="55"/>
      <c r="F13" s="55"/>
      <c r="G13" s="55"/>
      <c r="H13" s="55"/>
      <c r="I13" s="55"/>
      <c r="J13" s="55"/>
      <c r="K13" s="56"/>
    </row>
    <row r="14" spans="1:11" ht="17.25" customHeight="1" x14ac:dyDescent="0.25">
      <c r="A14" s="54" t="s">
        <v>29</v>
      </c>
      <c r="B14" s="55"/>
      <c r="C14" s="55"/>
      <c r="D14" s="55"/>
      <c r="E14" s="55"/>
      <c r="F14" s="55"/>
      <c r="G14" s="55"/>
      <c r="H14" s="55"/>
      <c r="I14" s="55"/>
      <c r="J14" s="55"/>
      <c r="K14" s="56"/>
    </row>
    <row r="15" spans="1:11" ht="27" customHeight="1" x14ac:dyDescent="0.25">
      <c r="A15" s="54" t="s">
        <v>30</v>
      </c>
      <c r="B15" s="55"/>
      <c r="C15" s="55"/>
      <c r="D15" s="55"/>
      <c r="E15" s="55"/>
      <c r="F15" s="55"/>
      <c r="G15" s="55"/>
      <c r="H15" s="55"/>
      <c r="I15" s="55"/>
      <c r="J15" s="55"/>
      <c r="K15" s="56"/>
    </row>
    <row r="16" spans="1:11" ht="15" customHeight="1" x14ac:dyDescent="0.25">
      <c r="A16" s="69" t="s">
        <v>78</v>
      </c>
      <c r="B16" s="70"/>
      <c r="C16" s="70"/>
      <c r="D16" s="70"/>
      <c r="E16" s="70"/>
      <c r="F16" s="70"/>
      <c r="G16" s="70"/>
      <c r="H16" s="70"/>
      <c r="I16" s="70"/>
      <c r="J16" s="70"/>
      <c r="K16" s="71"/>
    </row>
    <row r="17" spans="1:11" ht="43.5" customHeight="1" x14ac:dyDescent="0.25">
      <c r="A17" s="54" t="s">
        <v>79</v>
      </c>
      <c r="B17" s="55"/>
      <c r="C17" s="55"/>
      <c r="D17" s="55"/>
      <c r="E17" s="55"/>
      <c r="F17" s="55"/>
      <c r="G17" s="55"/>
      <c r="H17" s="55"/>
      <c r="I17" s="55"/>
      <c r="J17" s="55"/>
      <c r="K17" s="56"/>
    </row>
    <row r="18" spans="1:11" ht="123" customHeight="1" x14ac:dyDescent="0.25">
      <c r="A18" s="72" t="s">
        <v>59</v>
      </c>
      <c r="B18" s="73"/>
      <c r="C18" s="73"/>
      <c r="D18" s="73"/>
      <c r="E18" s="73"/>
      <c r="F18" s="73"/>
      <c r="G18" s="73"/>
      <c r="H18" s="73"/>
      <c r="I18" s="73"/>
      <c r="J18" s="73"/>
      <c r="K18" s="74"/>
    </row>
    <row r="19" spans="1:11" ht="59.25" customHeight="1" x14ac:dyDescent="0.25">
      <c r="A19" s="54" t="s">
        <v>80</v>
      </c>
      <c r="B19" s="55"/>
      <c r="C19" s="55"/>
      <c r="D19" s="55"/>
      <c r="E19" s="55"/>
      <c r="F19" s="55"/>
      <c r="G19" s="55"/>
      <c r="H19" s="55"/>
      <c r="I19" s="55"/>
      <c r="J19" s="55"/>
      <c r="K19" s="56"/>
    </row>
    <row r="20" spans="1:11" ht="15" customHeight="1" x14ac:dyDescent="0.25">
      <c r="A20" s="69" t="s">
        <v>81</v>
      </c>
      <c r="B20" s="70"/>
      <c r="C20" s="70"/>
      <c r="D20" s="70"/>
      <c r="E20" s="70"/>
      <c r="F20" s="70"/>
      <c r="G20" s="70"/>
      <c r="H20" s="70"/>
      <c r="I20" s="70"/>
      <c r="J20" s="70"/>
      <c r="K20" s="71"/>
    </row>
    <row r="21" spans="1:11" ht="70.5" customHeight="1" x14ac:dyDescent="0.25">
      <c r="A21" s="54" t="s">
        <v>82</v>
      </c>
      <c r="B21" s="55"/>
      <c r="C21" s="55"/>
      <c r="D21" s="55"/>
      <c r="E21" s="55"/>
      <c r="F21" s="55"/>
      <c r="G21" s="55"/>
      <c r="H21" s="55"/>
      <c r="I21" s="55"/>
      <c r="J21" s="55"/>
      <c r="K21" s="56"/>
    </row>
    <row r="22" spans="1:11" ht="73.5" customHeight="1" x14ac:dyDescent="0.25">
      <c r="A22" s="54" t="s">
        <v>83</v>
      </c>
      <c r="B22" s="55"/>
      <c r="C22" s="55"/>
      <c r="D22" s="55"/>
      <c r="E22" s="55"/>
      <c r="F22" s="55"/>
      <c r="G22" s="55"/>
      <c r="H22" s="55"/>
      <c r="I22" s="55"/>
      <c r="J22" s="55"/>
      <c r="K22" s="56"/>
    </row>
    <row r="23" spans="1:11" ht="15.75" x14ac:dyDescent="0.25">
      <c r="A23" s="57" t="s">
        <v>84</v>
      </c>
      <c r="B23" s="58"/>
      <c r="C23" s="58"/>
      <c r="D23" s="58"/>
      <c r="E23" s="58"/>
      <c r="F23" s="58"/>
      <c r="G23" s="58"/>
      <c r="H23" s="58"/>
      <c r="I23" s="58"/>
      <c r="J23" s="58"/>
      <c r="K23" s="59"/>
    </row>
    <row r="24" spans="1:11" ht="36" customHeight="1" x14ac:dyDescent="0.25">
      <c r="A24" s="60" t="s">
        <v>85</v>
      </c>
      <c r="B24" s="61"/>
      <c r="C24" s="61"/>
      <c r="D24" s="61"/>
      <c r="E24" s="61"/>
      <c r="F24" s="61"/>
      <c r="G24" s="61"/>
      <c r="H24" s="61"/>
      <c r="I24" s="61"/>
      <c r="J24" s="61"/>
      <c r="K24" s="62"/>
    </row>
    <row r="25" spans="1:11" ht="18" customHeight="1" x14ac:dyDescent="0.25">
      <c r="A25" s="63" t="s">
        <v>86</v>
      </c>
      <c r="B25" s="64"/>
      <c r="C25" s="64"/>
      <c r="D25" s="64"/>
      <c r="E25" s="64"/>
      <c r="F25" s="64"/>
      <c r="G25" s="64"/>
      <c r="H25" s="64"/>
      <c r="I25" s="64"/>
      <c r="J25" s="64"/>
      <c r="K25" s="65"/>
    </row>
    <row r="26" spans="1:11" ht="36.950000000000003" customHeight="1" x14ac:dyDescent="0.25">
      <c r="A26" s="66" t="s">
        <v>87</v>
      </c>
      <c r="B26" s="67"/>
      <c r="C26" s="67"/>
      <c r="D26" s="67"/>
      <c r="E26" s="67"/>
      <c r="F26" s="67"/>
      <c r="G26" s="67"/>
      <c r="H26" s="67"/>
      <c r="I26" s="67"/>
      <c r="J26" s="67"/>
      <c r="K26" s="68"/>
    </row>
  </sheetData>
  <sheetProtection sheet="1" objects="1" scenarios="1" selectLockedCells="1" selectUnlockedCells="1"/>
  <mergeCells count="36">
    <mergeCell ref="A1:K1"/>
    <mergeCell ref="A2:K2"/>
    <mergeCell ref="A3:B3"/>
    <mergeCell ref="C3:F3"/>
    <mergeCell ref="G3:H3"/>
    <mergeCell ref="I3:K3"/>
    <mergeCell ref="A9:K9"/>
    <mergeCell ref="A4:B4"/>
    <mergeCell ref="C4:F4"/>
    <mergeCell ref="G4:H4"/>
    <mergeCell ref="I4:K4"/>
    <mergeCell ref="A5:B5"/>
    <mergeCell ref="C5:F5"/>
    <mergeCell ref="G5:K5"/>
    <mergeCell ref="A6:B6"/>
    <mergeCell ref="C6:F6"/>
    <mergeCell ref="G6:K6"/>
    <mergeCell ref="A7:K7"/>
    <mergeCell ref="A8:K8"/>
    <mergeCell ref="A21:K21"/>
    <mergeCell ref="A10:K10"/>
    <mergeCell ref="A11:K11"/>
    <mergeCell ref="A12:K12"/>
    <mergeCell ref="A13:K13"/>
    <mergeCell ref="A14:K14"/>
    <mergeCell ref="A15:K15"/>
    <mergeCell ref="A16:K16"/>
    <mergeCell ref="A17:K17"/>
    <mergeCell ref="A18:K18"/>
    <mergeCell ref="A19:K19"/>
    <mergeCell ref="A20:K20"/>
    <mergeCell ref="A22:K22"/>
    <mergeCell ref="A23:K23"/>
    <mergeCell ref="A24:K24"/>
    <mergeCell ref="A25:K25"/>
    <mergeCell ref="A26:K26"/>
  </mergeCells>
  <hyperlinks>
    <hyperlink ref="C5" r:id="rId1" xr:uid="{00000000-0004-0000-0000-000000000000}"/>
    <hyperlink ref="C6" r:id="rId2" xr:uid="{00000000-0004-0000-0000-000001000000}"/>
  </hyperlinks>
  <printOptions horizontalCentered="1" verticalCentered="1"/>
  <pageMargins left="0.25" right="0.25" top="0.25" bottom="0.25" header="0.05" footer="0.05"/>
  <pageSetup scale="86" orientation="portrait" horizontalDpi="0" verticalDpi="0" r:id="rId3"/>
  <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45"/>
  <sheetViews>
    <sheetView workbookViewId="0">
      <selection activeCell="F17" sqref="F17"/>
    </sheetView>
  </sheetViews>
  <sheetFormatPr defaultColWidth="9.140625" defaultRowHeight="15" x14ac:dyDescent="0.25"/>
  <sheetData>
    <row r="1" spans="1:9" ht="69" customHeight="1" x14ac:dyDescent="0.25"/>
    <row r="2" spans="1:9" ht="27.75" x14ac:dyDescent="0.45">
      <c r="A2" s="86" t="s">
        <v>26</v>
      </c>
      <c r="B2" s="87"/>
      <c r="C2" s="87"/>
      <c r="D2" s="87"/>
      <c r="E2" s="87"/>
      <c r="F2" s="87"/>
      <c r="G2" s="87"/>
      <c r="H2" s="87"/>
      <c r="I2" s="87"/>
    </row>
    <row r="3" spans="1:9" ht="15.75" x14ac:dyDescent="0.25">
      <c r="A3" s="88" t="s">
        <v>31</v>
      </c>
      <c r="B3" s="88"/>
      <c r="C3" s="88"/>
      <c r="D3" s="88"/>
      <c r="E3" s="88"/>
      <c r="F3" s="88"/>
      <c r="G3" s="88"/>
      <c r="H3" s="88"/>
      <c r="I3" s="88"/>
    </row>
    <row r="4" spans="1:9" ht="15.75" thickBot="1" x14ac:dyDescent="0.3"/>
    <row r="5" spans="1:9" ht="19.5" thickBot="1" x14ac:dyDescent="0.3">
      <c r="A5" s="13" t="s">
        <v>3</v>
      </c>
      <c r="B5" s="9"/>
      <c r="C5" s="9"/>
      <c r="D5" s="9"/>
      <c r="E5" s="9"/>
      <c r="F5" s="9"/>
      <c r="G5" s="9"/>
      <c r="H5" s="9"/>
      <c r="I5" s="10"/>
    </row>
    <row r="6" spans="1:9" ht="17.25" x14ac:dyDescent="0.25">
      <c r="A6" s="4" t="s">
        <v>21</v>
      </c>
      <c r="E6" s="18" t="s">
        <v>38</v>
      </c>
      <c r="F6" s="23">
        <v>780</v>
      </c>
      <c r="G6" s="18" t="s">
        <v>39</v>
      </c>
      <c r="H6" s="23">
        <v>147</v>
      </c>
      <c r="I6" s="5"/>
    </row>
    <row r="7" spans="1:9" x14ac:dyDescent="0.25">
      <c r="A7" s="4"/>
      <c r="F7" s="16"/>
      <c r="I7" s="5"/>
    </row>
    <row r="8" spans="1:9" x14ac:dyDescent="0.25">
      <c r="A8" s="4" t="s">
        <v>60</v>
      </c>
      <c r="F8" s="23">
        <v>41</v>
      </c>
      <c r="H8" s="22">
        <f>H6*0.55</f>
        <v>80.850000000000009</v>
      </c>
      <c r="I8" s="5"/>
    </row>
    <row r="9" spans="1:9" x14ac:dyDescent="0.25">
      <c r="A9" s="4"/>
      <c r="F9" s="16"/>
      <c r="I9" s="5"/>
    </row>
    <row r="10" spans="1:9" x14ac:dyDescent="0.25">
      <c r="A10" s="4" t="s">
        <v>4</v>
      </c>
      <c r="F10" s="16"/>
      <c r="I10" s="5"/>
    </row>
    <row r="11" spans="1:9" x14ac:dyDescent="0.25">
      <c r="A11" s="42" t="s">
        <v>62</v>
      </c>
      <c r="F11" s="38">
        <v>80</v>
      </c>
      <c r="I11" s="5"/>
    </row>
    <row r="12" spans="1:9" x14ac:dyDescent="0.25">
      <c r="A12" s="4" t="s">
        <v>63</v>
      </c>
      <c r="F12" s="38">
        <v>0</v>
      </c>
      <c r="I12" s="5"/>
    </row>
    <row r="13" spans="1:9" x14ac:dyDescent="0.25">
      <c r="A13" s="4"/>
      <c r="F13" s="16"/>
      <c r="I13" s="5"/>
    </row>
    <row r="14" spans="1:9" x14ac:dyDescent="0.25">
      <c r="A14" s="4" t="s">
        <v>10</v>
      </c>
      <c r="F14" s="23">
        <v>1.5</v>
      </c>
      <c r="I14" s="5"/>
    </row>
    <row r="15" spans="1:9" x14ac:dyDescent="0.25">
      <c r="A15" s="4"/>
      <c r="F15" s="16"/>
      <c r="I15" s="5"/>
    </row>
    <row r="16" spans="1:9" ht="15.75" thickBot="1" x14ac:dyDescent="0.3">
      <c r="A16" s="6" t="s">
        <v>11</v>
      </c>
      <c r="B16" s="7"/>
      <c r="C16" s="7"/>
      <c r="D16" s="7"/>
      <c r="E16" s="7"/>
      <c r="F16" s="24">
        <v>22</v>
      </c>
      <c r="G16" s="7"/>
      <c r="H16" s="7"/>
      <c r="I16" s="8"/>
    </row>
    <row r="18" spans="1:9" ht="15.75" thickBot="1" x14ac:dyDescent="0.3"/>
    <row r="19" spans="1:9" ht="19.5" thickBot="1" x14ac:dyDescent="0.3">
      <c r="A19" s="14" t="s">
        <v>5</v>
      </c>
      <c r="B19" s="11"/>
      <c r="C19" s="11"/>
      <c r="D19" s="11"/>
      <c r="E19" s="11"/>
      <c r="F19" s="11"/>
      <c r="G19" s="11"/>
      <c r="H19" s="11"/>
      <c r="I19" s="12"/>
    </row>
    <row r="20" spans="1:9" x14ac:dyDescent="0.25">
      <c r="A20" s="4" t="s">
        <v>40</v>
      </c>
      <c r="G20" s="2">
        <f>IF(F12&gt;0,((F12/1000)*60.8736)+F8,(((F8/F11)*60.8736)+F8))</f>
        <v>72.197720000000004</v>
      </c>
      <c r="I20" s="5"/>
    </row>
    <row r="21" spans="1:9" x14ac:dyDescent="0.25">
      <c r="A21" s="4" t="s">
        <v>41</v>
      </c>
      <c r="G21" s="2">
        <f>((G20-F8)/60.8736)*1000</f>
        <v>512.50000000000011</v>
      </c>
      <c r="I21" s="5"/>
    </row>
    <row r="22" spans="1:9" x14ac:dyDescent="0.25">
      <c r="A22" s="4"/>
      <c r="I22" s="5"/>
    </row>
    <row r="23" spans="1:9" x14ac:dyDescent="0.25">
      <c r="A23" s="4" t="s">
        <v>12</v>
      </c>
      <c r="G23" s="1">
        <f>G24/30.4368</f>
        <v>11.765678389318193</v>
      </c>
      <c r="I23" s="5"/>
    </row>
    <row r="24" spans="1:9" x14ac:dyDescent="0.25">
      <c r="A24" s="4" t="s">
        <v>13</v>
      </c>
      <c r="G24" s="2">
        <f>G31-(21*F14)</f>
        <v>358.1096</v>
      </c>
      <c r="I24" s="5"/>
    </row>
    <row r="25" spans="1:9" x14ac:dyDescent="0.25">
      <c r="A25" s="4" t="s">
        <v>42</v>
      </c>
      <c r="G25" s="2">
        <f>G32-((G33/1000)*(21*F14))</f>
        <v>394.81064495522247</v>
      </c>
      <c r="I25" s="5"/>
    </row>
    <row r="26" spans="1:9" x14ac:dyDescent="0.25">
      <c r="A26" s="25" t="s">
        <v>17</v>
      </c>
      <c r="G26" s="2"/>
      <c r="I26" s="5"/>
    </row>
    <row r="27" spans="1:9" x14ac:dyDescent="0.25">
      <c r="A27" s="25" t="s">
        <v>16</v>
      </c>
      <c r="G27" s="2"/>
      <c r="I27" s="5"/>
    </row>
    <row r="28" spans="1:9" x14ac:dyDescent="0.25">
      <c r="A28" s="25" t="s">
        <v>64</v>
      </c>
      <c r="G28" s="2"/>
      <c r="I28" s="5"/>
    </row>
    <row r="29" spans="1:9" x14ac:dyDescent="0.25">
      <c r="A29" s="4"/>
      <c r="I29" s="5"/>
    </row>
    <row r="30" spans="1:9" x14ac:dyDescent="0.25">
      <c r="A30" s="4" t="s">
        <v>14</v>
      </c>
      <c r="G30" s="1">
        <f>G31/30.4368</f>
        <v>12.800609788151185</v>
      </c>
      <c r="I30" s="5"/>
    </row>
    <row r="31" spans="1:9" x14ac:dyDescent="0.25">
      <c r="A31" s="4" t="s">
        <v>15</v>
      </c>
      <c r="G31" s="2">
        <f>(F16*30.4368)-280</f>
        <v>389.6096</v>
      </c>
      <c r="I31" s="5"/>
    </row>
    <row r="32" spans="1:9" x14ac:dyDescent="0.25">
      <c r="A32" s="4" t="s">
        <v>22</v>
      </c>
      <c r="F32" s="18" t="s">
        <v>38</v>
      </c>
      <c r="G32" s="2">
        <f>F6*0.55</f>
        <v>429.00000000000006</v>
      </c>
      <c r="H32" s="18" t="s">
        <v>39</v>
      </c>
      <c r="I32" s="39">
        <f>0.85*H6</f>
        <v>124.95</v>
      </c>
    </row>
    <row r="33" spans="1:9" x14ac:dyDescent="0.25">
      <c r="A33" s="4" t="s">
        <v>43</v>
      </c>
      <c r="G33" s="2">
        <f>((G32-G20)/(G31-60.8736))*1000</f>
        <v>1085.3763506278594</v>
      </c>
      <c r="I33" s="20">
        <f>(I32-H8)/G31</f>
        <v>0.1131902293988649</v>
      </c>
    </row>
    <row r="34" spans="1:9" x14ac:dyDescent="0.25">
      <c r="A34" s="4"/>
      <c r="I34" s="5"/>
    </row>
    <row r="35" spans="1:9" x14ac:dyDescent="0.25">
      <c r="A35" s="4" t="s">
        <v>44</v>
      </c>
      <c r="G35" s="2">
        <f>((73.195*(F8/45))+G36)</f>
        <v>729.68877777777777</v>
      </c>
      <c r="I35" s="5"/>
    </row>
    <row r="36" spans="1:9" x14ac:dyDescent="0.25">
      <c r="A36" s="4" t="s">
        <v>23</v>
      </c>
      <c r="F36" s="18" t="s">
        <v>38</v>
      </c>
      <c r="G36">
        <f>0.85*F6</f>
        <v>663</v>
      </c>
      <c r="H36" s="18" t="s">
        <v>39</v>
      </c>
      <c r="I36" s="39">
        <f>0.96*H6</f>
        <v>141.12</v>
      </c>
    </row>
    <row r="37" spans="1:9" ht="15.75" thickBot="1" x14ac:dyDescent="0.3">
      <c r="A37" s="6" t="s">
        <v>45</v>
      </c>
      <c r="B37" s="7"/>
      <c r="C37" s="7"/>
      <c r="D37" s="7"/>
      <c r="E37" s="7"/>
      <c r="F37" s="7"/>
      <c r="G37" s="40">
        <f>((G35-G32)/((F16*30.4368)-G31))*1000</f>
        <v>1073.8884920634919</v>
      </c>
      <c r="H37" s="7"/>
      <c r="I37" s="21">
        <f>(I36-I32)/((F16*30.4368)-G31)</f>
        <v>5.7750000000000003E-2</v>
      </c>
    </row>
    <row r="39" spans="1:9" x14ac:dyDescent="0.25">
      <c r="A39" t="s">
        <v>6</v>
      </c>
    </row>
    <row r="40" spans="1:9" x14ac:dyDescent="0.25">
      <c r="A40" t="s">
        <v>8</v>
      </c>
    </row>
    <row r="41" spans="1:9" x14ac:dyDescent="0.25">
      <c r="A41" t="s">
        <v>7</v>
      </c>
    </row>
    <row r="42" spans="1:9" x14ac:dyDescent="0.25">
      <c r="A42" t="s">
        <v>9</v>
      </c>
    </row>
    <row r="43" spans="1:9" x14ac:dyDescent="0.25">
      <c r="A43" t="s">
        <v>32</v>
      </c>
    </row>
    <row r="44" spans="1:9" x14ac:dyDescent="0.25">
      <c r="A44" t="s">
        <v>33</v>
      </c>
      <c r="C44" s="1"/>
      <c r="D44" s="1"/>
    </row>
    <row r="45" spans="1:9" x14ac:dyDescent="0.25">
      <c r="C45" s="1"/>
      <c r="D45" s="1"/>
    </row>
  </sheetData>
  <sheetProtection sheet="1" objects="1" scenarios="1"/>
  <mergeCells count="2">
    <mergeCell ref="A2:I2"/>
    <mergeCell ref="A3:I3"/>
  </mergeCells>
  <printOptions horizontalCentered="1"/>
  <pageMargins left="0.7" right="0.7" top="0.75" bottom="0.75" header="0.3" footer="0.3"/>
  <pageSetup scale="95" fitToWidth="0" orientation="portrait" horizontalDpi="0" verticalDpi="0"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1"/>
  <sheetViews>
    <sheetView topLeftCell="A3" workbookViewId="0">
      <selection activeCell="A6" sqref="A6"/>
    </sheetView>
  </sheetViews>
  <sheetFormatPr defaultColWidth="9.140625" defaultRowHeight="15" x14ac:dyDescent="0.25"/>
  <sheetData>
    <row r="1" spans="1:11" ht="65.25" customHeight="1" x14ac:dyDescent="0.25"/>
    <row r="2" spans="1:11" ht="21" x14ac:dyDescent="0.35">
      <c r="A2" s="89" t="s">
        <v>25</v>
      </c>
      <c r="B2" s="89"/>
      <c r="C2" s="89"/>
      <c r="D2" s="89"/>
      <c r="E2" s="89"/>
      <c r="F2" s="89"/>
    </row>
    <row r="3" spans="1:11" ht="15.75" x14ac:dyDescent="0.25">
      <c r="A3" s="90" t="s">
        <v>24</v>
      </c>
      <c r="B3" s="90"/>
      <c r="C3" s="90"/>
      <c r="D3" s="90"/>
      <c r="E3" s="90"/>
      <c r="F3" s="90"/>
    </row>
    <row r="4" spans="1:11" ht="15.75" thickBot="1" x14ac:dyDescent="0.3"/>
    <row r="5" spans="1:11" x14ac:dyDescent="0.25">
      <c r="A5" s="35" t="s">
        <v>0</v>
      </c>
      <c r="B5" s="36" t="s">
        <v>1</v>
      </c>
      <c r="C5" s="36" t="s">
        <v>46</v>
      </c>
      <c r="D5" s="36" t="s">
        <v>2</v>
      </c>
      <c r="E5" s="36" t="s">
        <v>47</v>
      </c>
      <c r="F5" s="37" t="s">
        <v>35</v>
      </c>
    </row>
    <row r="6" spans="1:11" x14ac:dyDescent="0.25">
      <c r="A6" s="26">
        <v>0</v>
      </c>
      <c r="B6" s="17">
        <f t="shared" ref="B6:B24" si="0">A6*30.4368</f>
        <v>0</v>
      </c>
      <c r="C6" s="27">
        <f>Calculations!F8</f>
        <v>41</v>
      </c>
      <c r="D6" s="28">
        <f>C6/Calculations!$F$6*100</f>
        <v>5.2564102564102564</v>
      </c>
      <c r="E6" s="17">
        <f>Calculations!H8</f>
        <v>80.850000000000009</v>
      </c>
      <c r="F6" s="29">
        <f>E6/Calculations!$H$6*100</f>
        <v>55.000000000000007</v>
      </c>
      <c r="J6" s="2"/>
      <c r="K6" s="3"/>
    </row>
    <row r="7" spans="1:11" x14ac:dyDescent="0.25">
      <c r="A7" s="26">
        <v>1</v>
      </c>
      <c r="B7" s="17">
        <f t="shared" si="0"/>
        <v>30.436800000000002</v>
      </c>
      <c r="C7" s="27">
        <f>C6+((Calculations!G21/1000)*30.4368)</f>
        <v>56.598860000000002</v>
      </c>
      <c r="D7" s="28">
        <f>C7/Calculations!$F$6*100</f>
        <v>7.2562641025641028</v>
      </c>
      <c r="E7" s="17">
        <f>E6+($C$49*30.4368)</f>
        <v>85.872500000000016</v>
      </c>
      <c r="F7" s="29">
        <f>E7/Calculations!$H$6*100</f>
        <v>58.416666666666686</v>
      </c>
      <c r="J7" s="2"/>
      <c r="K7" s="3"/>
    </row>
    <row r="8" spans="1:11" x14ac:dyDescent="0.25">
      <c r="A8" s="26">
        <v>2</v>
      </c>
      <c r="B8" s="17">
        <f t="shared" si="0"/>
        <v>60.873600000000003</v>
      </c>
      <c r="C8" s="27">
        <f>C7+((Calculations!G21/1000)*30.4368)</f>
        <v>72.197720000000004</v>
      </c>
      <c r="D8" s="28">
        <f>C8/Calculations!$F$6*100</f>
        <v>9.2561179487179501</v>
      </c>
      <c r="E8" s="17">
        <f t="shared" ref="E8:E12" si="1">E7+($C$49*30.4368)</f>
        <v>90.895000000000024</v>
      </c>
      <c r="F8" s="29">
        <f>E8/Calculations!$H$6*100</f>
        <v>61.83333333333335</v>
      </c>
      <c r="J8" s="2"/>
      <c r="K8" s="3"/>
    </row>
    <row r="9" spans="1:11" x14ac:dyDescent="0.25">
      <c r="A9" s="26">
        <v>3</v>
      </c>
      <c r="B9" s="17">
        <f t="shared" si="0"/>
        <v>91.310400000000001</v>
      </c>
      <c r="C9" s="27">
        <f>IF(B9&gt;Calculations!$G$31,(C8+((Calculations!$G$37/1000)*30.4368)),(C8+((Calculations!$G$33/1000)*30.4368)))</f>
        <v>105.23310290879004</v>
      </c>
      <c r="D9" s="28">
        <f>C9/Calculations!$F$6*100</f>
        <v>13.491423449844877</v>
      </c>
      <c r="E9" s="17">
        <f t="shared" si="1"/>
        <v>95.917500000000032</v>
      </c>
      <c r="F9" s="29">
        <f>E9/Calculations!$H$6*100</f>
        <v>65.250000000000014</v>
      </c>
      <c r="J9" s="2"/>
      <c r="K9" s="3"/>
    </row>
    <row r="10" spans="1:11" x14ac:dyDescent="0.25">
      <c r="A10" s="26">
        <v>4</v>
      </c>
      <c r="B10" s="17">
        <f t="shared" si="0"/>
        <v>121.74720000000001</v>
      </c>
      <c r="C10" s="27">
        <f>IF(B10&gt;Calculations!$G$31,(C9+((Calculations!$G$37/1000)*30.4368)),(C9+((Calculations!$G$33/1000)*30.4368)))</f>
        <v>138.26848581758009</v>
      </c>
      <c r="D10" s="28">
        <f>C10/Calculations!$F$6*100</f>
        <v>17.726728950971808</v>
      </c>
      <c r="E10" s="17">
        <f t="shared" si="1"/>
        <v>100.94000000000004</v>
      </c>
      <c r="F10" s="29">
        <f>E10/Calculations!$H$6*100</f>
        <v>68.6666666666667</v>
      </c>
      <c r="J10" s="2"/>
      <c r="K10" s="3"/>
    </row>
    <row r="11" spans="1:11" x14ac:dyDescent="0.25">
      <c r="A11" s="26">
        <v>5</v>
      </c>
      <c r="B11" s="17">
        <f t="shared" si="0"/>
        <v>152.184</v>
      </c>
      <c r="C11" s="27">
        <f>IF(B11&gt;Calculations!$G$31,(C10+((Calculations!$G$37/1000)*30.4368)),(C10+((Calculations!$G$33/1000)*30.4368)))</f>
        <v>171.30386872637013</v>
      </c>
      <c r="D11" s="28">
        <f>C11/Calculations!$F$6*100</f>
        <v>21.962034452098735</v>
      </c>
      <c r="E11" s="17">
        <f t="shared" si="1"/>
        <v>105.96250000000005</v>
      </c>
      <c r="F11" s="29">
        <f>E11/Calculations!$H$6*100</f>
        <v>72.083333333333371</v>
      </c>
      <c r="J11" s="2"/>
      <c r="K11" s="3"/>
    </row>
    <row r="12" spans="1:11" x14ac:dyDescent="0.25">
      <c r="A12" s="26">
        <v>6</v>
      </c>
      <c r="B12" s="17">
        <f t="shared" si="0"/>
        <v>182.6208</v>
      </c>
      <c r="C12" s="27">
        <f>IF(B12&gt;Calculations!$G$31,(C11+((Calculations!$G$37/1000)*30.4368)),(C11+((Calculations!$G$33/1000)*30.4368)))</f>
        <v>204.33925163516017</v>
      </c>
      <c r="D12" s="28">
        <f>C12/Calculations!$F$6*100</f>
        <v>26.197339953225661</v>
      </c>
      <c r="E12" s="17">
        <f t="shared" si="1"/>
        <v>110.98500000000006</v>
      </c>
      <c r="F12" s="29">
        <f>E12/Calculations!$H$6*100</f>
        <v>75.500000000000028</v>
      </c>
      <c r="J12" s="2"/>
      <c r="K12" s="3"/>
    </row>
    <row r="13" spans="1:11" x14ac:dyDescent="0.25">
      <c r="A13" s="26">
        <v>7</v>
      </c>
      <c r="B13" s="17">
        <f t="shared" si="0"/>
        <v>213.05760000000001</v>
      </c>
      <c r="C13" s="27">
        <f>IF(B13&gt;Calculations!$G$31,(C12+((Calculations!$G$37/1000)*30.4368)),(C12+((Calculations!$G$33/1000)*30.4368)))</f>
        <v>237.37463454395021</v>
      </c>
      <c r="D13" s="28">
        <f>C13/Calculations!$F$6*100</f>
        <v>30.432645454352592</v>
      </c>
      <c r="E13" s="17">
        <f>E12+($C$50*30.4368)</f>
        <v>113.49625000000006</v>
      </c>
      <c r="F13" s="29">
        <f>E13/Calculations!$H$6*100</f>
        <v>77.208333333333385</v>
      </c>
      <c r="J13" s="2"/>
      <c r="K13" s="3"/>
    </row>
    <row r="14" spans="1:11" x14ac:dyDescent="0.25">
      <c r="A14" s="26">
        <v>8</v>
      </c>
      <c r="B14" s="17">
        <f t="shared" si="0"/>
        <v>243.49440000000001</v>
      </c>
      <c r="C14" s="27">
        <f>IF(B14&gt;Calculations!$G$31,(C13+((Calculations!$G$37/1000)*30.4368)),(C13+((Calculations!$G$33/1000)*30.4368)))</f>
        <v>270.41001745274025</v>
      </c>
      <c r="D14" s="28">
        <f>C14/Calculations!$F$6*100</f>
        <v>34.667950955479519</v>
      </c>
      <c r="E14" s="17">
        <f t="shared" ref="E14:E17" si="2">E13+($C$50*30.4368)</f>
        <v>116.00750000000006</v>
      </c>
      <c r="F14" s="29">
        <f>E14/Calculations!$H$6*100</f>
        <v>78.916666666666714</v>
      </c>
      <c r="J14" s="2"/>
      <c r="K14" s="3"/>
    </row>
    <row r="15" spans="1:11" x14ac:dyDescent="0.25">
      <c r="A15" s="26">
        <v>9</v>
      </c>
      <c r="B15" s="17">
        <f t="shared" si="0"/>
        <v>273.93119999999999</v>
      </c>
      <c r="C15" s="27">
        <f>IF(B15&gt;Calculations!$G$31,(C14+((Calculations!$G$37/1000)*30.4368)),(C14+((Calculations!$G$33/1000)*30.4368)))</f>
        <v>303.44540036153029</v>
      </c>
      <c r="D15" s="28">
        <f>C15/Calculations!$F$6*100</f>
        <v>38.903256456606449</v>
      </c>
      <c r="E15" s="17">
        <f t="shared" si="2"/>
        <v>118.51875000000007</v>
      </c>
      <c r="F15" s="29">
        <f>E15/Calculations!$H$6*100</f>
        <v>80.625000000000043</v>
      </c>
      <c r="J15" s="2"/>
      <c r="K15" s="3"/>
    </row>
    <row r="16" spans="1:11" x14ac:dyDescent="0.25">
      <c r="A16" s="26">
        <v>10</v>
      </c>
      <c r="B16" s="17">
        <f t="shared" si="0"/>
        <v>304.36799999999999</v>
      </c>
      <c r="C16" s="27">
        <f>IF(B16&gt;Calculations!$G$31,(C15+((Calculations!$G$37/1000)*30.4368)),(C15+((Calculations!$G$33/1000)*30.4368)))</f>
        <v>336.48078327032033</v>
      </c>
      <c r="D16" s="28">
        <f>C16/Calculations!$F$6*100</f>
        <v>43.138561957733373</v>
      </c>
      <c r="E16" s="17">
        <f t="shared" si="2"/>
        <v>121.03000000000007</v>
      </c>
      <c r="F16" s="29">
        <f>E16/Calculations!$H$6*100</f>
        <v>82.333333333333385</v>
      </c>
      <c r="J16" s="2"/>
      <c r="K16" s="3"/>
    </row>
    <row r="17" spans="1:11" x14ac:dyDescent="0.25">
      <c r="A17" s="26">
        <v>11</v>
      </c>
      <c r="B17" s="17">
        <f t="shared" si="0"/>
        <v>334.8048</v>
      </c>
      <c r="C17" s="27">
        <f>IF(B17&gt;Calculations!$G$31,(C16+((Calculations!$G$37/1000)*30.4368)),(C16+((Calculations!$G$33/1000)*30.4368)))</f>
        <v>369.51616617911037</v>
      </c>
      <c r="D17" s="28">
        <f>C17/Calculations!$F$6*100</f>
        <v>47.373867458860303</v>
      </c>
      <c r="E17" s="17">
        <f t="shared" si="2"/>
        <v>123.54125000000008</v>
      </c>
      <c r="F17" s="29">
        <f>E17/Calculations!$H$6*100</f>
        <v>84.041666666666714</v>
      </c>
      <c r="J17" s="2"/>
      <c r="K17" s="3"/>
    </row>
    <row r="18" spans="1:11" x14ac:dyDescent="0.25">
      <c r="A18" s="26">
        <v>12</v>
      </c>
      <c r="B18" s="17">
        <f t="shared" si="0"/>
        <v>365.24160000000001</v>
      </c>
      <c r="C18" s="27">
        <f>IF(B18&gt;Calculations!$G$31,(C17+((Calculations!$G$37/1000)*30.4368)),(C17+((Calculations!$G$33/1000)*30.4368)))</f>
        <v>402.55154908790041</v>
      </c>
      <c r="D18" s="28">
        <f>C18/Calculations!$F$6*100</f>
        <v>51.609172959987234</v>
      </c>
      <c r="E18" s="17">
        <f>E17+($C$50*30.4368)</f>
        <v>126.05250000000008</v>
      </c>
      <c r="F18" s="29">
        <f>E18/Calculations!$H$6*100</f>
        <v>85.750000000000057</v>
      </c>
      <c r="J18" s="2"/>
      <c r="K18" s="3"/>
    </row>
    <row r="19" spans="1:11" x14ac:dyDescent="0.25">
      <c r="A19" s="26">
        <v>13</v>
      </c>
      <c r="B19" s="17">
        <f t="shared" si="0"/>
        <v>395.67840000000001</v>
      </c>
      <c r="C19" s="27">
        <f>IF(B19&gt;Calculations!$G$31,(C18+((Calculations!$G$37/1000)*30.4368)),(C18+((Calculations!$G$33/1000)*30.4368)))</f>
        <v>435.23727834313848</v>
      </c>
      <c r="D19" s="28">
        <f>C19/Calculations!$F$6*100</f>
        <v>55.799651069633136</v>
      </c>
      <c r="E19" s="17">
        <f>E18+($C$51*30.4368)</f>
        <v>127.55925000000008</v>
      </c>
      <c r="F19" s="29">
        <f>E19/Calculations!$H$6*100</f>
        <v>86.775000000000063</v>
      </c>
      <c r="J19" s="2"/>
      <c r="K19" s="3"/>
    </row>
    <row r="20" spans="1:11" x14ac:dyDescent="0.25">
      <c r="A20" s="26">
        <v>14</v>
      </c>
      <c r="B20" s="17">
        <f t="shared" si="0"/>
        <v>426.11520000000002</v>
      </c>
      <c r="C20" s="27">
        <f>IF(B20&gt;Calculations!$G$31,(C19+((Calculations!$G$37/1000)*30.4368)),(C19+((Calculations!$G$33/1000)*30.4368)))</f>
        <v>467.92300759837656</v>
      </c>
      <c r="D20" s="28">
        <f>C20/Calculations!$F$6*100</f>
        <v>59.990129179279052</v>
      </c>
      <c r="E20" s="17">
        <f t="shared" ref="E20:E23" si="3">E19+($C$51*30.4368)</f>
        <v>129.06600000000009</v>
      </c>
      <c r="F20" s="29">
        <f>E20/Calculations!$H$6*100</f>
        <v>87.800000000000054</v>
      </c>
      <c r="J20" s="2"/>
      <c r="K20" s="3"/>
    </row>
    <row r="21" spans="1:11" x14ac:dyDescent="0.25">
      <c r="A21" s="26">
        <v>15</v>
      </c>
      <c r="B21" s="17">
        <f t="shared" si="0"/>
        <v>456.55200000000002</v>
      </c>
      <c r="C21" s="27">
        <f>IF(B21&gt;Calculations!$G$31,(C20+((Calculations!$G$37/1000)*30.4368)),(C20+((Calculations!$G$33/1000)*30.4368)))</f>
        <v>500.60873685361463</v>
      </c>
      <c r="D21" s="28">
        <f>C21/Calculations!$F$6*100</f>
        <v>64.180607288924946</v>
      </c>
      <c r="E21" s="17">
        <f t="shared" si="3"/>
        <v>130.5727500000001</v>
      </c>
      <c r="F21" s="29">
        <f>E21/Calculations!$H$6*100</f>
        <v>88.82500000000006</v>
      </c>
      <c r="J21" s="2"/>
      <c r="K21" s="3"/>
    </row>
    <row r="22" spans="1:11" x14ac:dyDescent="0.25">
      <c r="A22" s="26">
        <v>16</v>
      </c>
      <c r="B22" s="17">
        <f t="shared" si="0"/>
        <v>486.98880000000003</v>
      </c>
      <c r="C22" s="27">
        <f>IF(B22&gt;Calculations!$G$31,(C21+((Calculations!$G$37/1000)*30.4368)),(C21+((Calculations!$G$33/1000)*30.4368)))</f>
        <v>533.2944661088527</v>
      </c>
      <c r="D22" s="28">
        <f>C22/Calculations!$F$6*100</f>
        <v>68.37108539857087</v>
      </c>
      <c r="E22" s="17">
        <f t="shared" si="3"/>
        <v>132.07950000000011</v>
      </c>
      <c r="F22" s="29">
        <f>E22/Calculations!$H$6*100</f>
        <v>89.85000000000008</v>
      </c>
      <c r="J22" s="2"/>
      <c r="K22" s="3"/>
    </row>
    <row r="23" spans="1:11" x14ac:dyDescent="0.25">
      <c r="A23" s="26">
        <v>17</v>
      </c>
      <c r="B23" s="17">
        <f t="shared" si="0"/>
        <v>517.42560000000003</v>
      </c>
      <c r="C23" s="27">
        <f>IF(B23&gt;Calculations!$G$31,(C22+((Calculations!$G$37/1000)*30.4368)),(C22+((Calculations!$G$33/1000)*30.4368)))</f>
        <v>565.98019536409083</v>
      </c>
      <c r="D23" s="28">
        <f>C23/Calculations!$F$6*100</f>
        <v>72.561563508216778</v>
      </c>
      <c r="E23" s="17">
        <f t="shared" si="3"/>
        <v>133.58625000000012</v>
      </c>
      <c r="F23" s="29">
        <f>E23/Calculations!$H$6*100</f>
        <v>90.875000000000085</v>
      </c>
      <c r="J23" s="2"/>
      <c r="K23" s="3"/>
    </row>
    <row r="24" spans="1:11" x14ac:dyDescent="0.25">
      <c r="A24" s="26">
        <v>18</v>
      </c>
      <c r="B24" s="17">
        <f t="shared" si="0"/>
        <v>547.86239999999998</v>
      </c>
      <c r="C24" s="27">
        <f>IF(B24&gt;$E$37,(Calculations!$G$36+(($E$41/1000)*(B24-$E$37))),(C23+((Calculations!$G$37/1000)*30.4368)))</f>
        <v>598.66592461932896</v>
      </c>
      <c r="D24" s="28">
        <f>C24/Calculations!$F$6*100</f>
        <v>76.752041617862687</v>
      </c>
      <c r="E24" s="17">
        <f>IF(B24&gt;$E$37,(E23+($F$41*30.4368)),(E23+($C$51*30.4368)))</f>
        <v>135.09300000000013</v>
      </c>
      <c r="F24" s="29">
        <f>E24/Calculations!$H$6*100</f>
        <v>91.900000000000091</v>
      </c>
      <c r="J24" s="2"/>
      <c r="K24" s="3"/>
    </row>
    <row r="25" spans="1:11" x14ac:dyDescent="0.25">
      <c r="A25" s="26">
        <v>19</v>
      </c>
      <c r="B25" s="17">
        <f t="shared" ref="B25:B34" si="4">A25*30.4368</f>
        <v>578.29920000000004</v>
      </c>
      <c r="C25" s="27">
        <f>IF(B25&gt;$E$37,(Calculations!$G$36+(($E$41/1000)*(B25-$E$37))),(C24+((Calculations!$G$37/1000)*30.4368)))</f>
        <v>631.35165387456709</v>
      </c>
      <c r="D25" s="28">
        <f>C25/Calculations!$F$6*100</f>
        <v>80.942519727508596</v>
      </c>
      <c r="E25" s="17">
        <f t="shared" ref="E25:E34" si="5">IF(B25&gt;$E$37,(E24+($F$41*30.4368)),(E24+($C$51*30.4368)))</f>
        <v>136.59975000000014</v>
      </c>
      <c r="F25" s="29">
        <f>E25/Calculations!$H$6*100</f>
        <v>92.925000000000097</v>
      </c>
      <c r="J25" s="2"/>
      <c r="K25" s="3"/>
    </row>
    <row r="26" spans="1:11" x14ac:dyDescent="0.25">
      <c r="A26" s="26">
        <v>20</v>
      </c>
      <c r="B26" s="17">
        <f t="shared" si="4"/>
        <v>608.73599999999999</v>
      </c>
      <c r="C26" s="27">
        <f>IF(B26&gt;$E$37,(Calculations!$G$36+(($E$41/1000)*(B26-$E$37))),(C25+((Calculations!$G$37/1000)*30.4368)))</f>
        <v>664.03738312980522</v>
      </c>
      <c r="D26" s="28">
        <f>C26/Calculations!$F$6*100</f>
        <v>85.132997837154505</v>
      </c>
      <c r="E26" s="17">
        <f t="shared" si="5"/>
        <v>138.10650000000015</v>
      </c>
      <c r="F26" s="29">
        <f>E26/Calculations!$H$6*100</f>
        <v>93.950000000000102</v>
      </c>
      <c r="J26" s="2"/>
      <c r="K26" s="3"/>
    </row>
    <row r="27" spans="1:11" x14ac:dyDescent="0.25">
      <c r="A27" s="26">
        <v>21</v>
      </c>
      <c r="B27" s="17">
        <f t="shared" si="4"/>
        <v>639.17280000000005</v>
      </c>
      <c r="C27" s="27">
        <f>IF(B27&gt;$E$37,(Calculations!$G$36+(($E$41/1000)*(B27-$E$37))),(C26+((Calculations!$G$37/1000)*30.4368)))</f>
        <v>696.72311238504335</v>
      </c>
      <c r="D27" s="28">
        <f>C27/Calculations!$F$6*100</f>
        <v>89.323475946800428</v>
      </c>
      <c r="E27" s="17">
        <f t="shared" si="5"/>
        <v>139.61325000000016</v>
      </c>
      <c r="F27" s="29">
        <f>E27/Calculations!$H$6*100</f>
        <v>94.975000000000108</v>
      </c>
      <c r="J27" s="2"/>
      <c r="K27" s="3"/>
    </row>
    <row r="28" spans="1:11" x14ac:dyDescent="0.25">
      <c r="A28" s="26">
        <v>22</v>
      </c>
      <c r="B28" s="17">
        <f t="shared" si="4"/>
        <v>669.6096</v>
      </c>
      <c r="C28" s="27">
        <f>IF(B28&gt;$E$37,(Calculations!$G$36+(($E$41/1000)*(B28-$E$37))),(C27+((Calculations!$G$37/1000)*30.4368)))</f>
        <v>729.40884164028148</v>
      </c>
      <c r="D28" s="28">
        <f>C28/Calculations!$F$6*100</f>
        <v>93.513954056446352</v>
      </c>
      <c r="E28" s="17">
        <f t="shared" si="5"/>
        <v>141.12000000000018</v>
      </c>
      <c r="F28" s="29">
        <f>E28/Calculations!$H$6*100</f>
        <v>96.000000000000114</v>
      </c>
      <c r="J28" s="2"/>
      <c r="K28" s="3"/>
    </row>
    <row r="29" spans="1:11" x14ac:dyDescent="0.25">
      <c r="A29" s="26">
        <v>23</v>
      </c>
      <c r="B29" s="17">
        <f t="shared" si="4"/>
        <v>700.04640000000006</v>
      </c>
      <c r="C29" s="27">
        <f>IF(B29&gt;$E$37,(Calculations!$G$36+(($E$41/1000)*(B29-$E$37))),(C28+((Calculations!$G$37/1000)*30.4368)))</f>
        <v>672.14006318313659</v>
      </c>
      <c r="D29" s="28">
        <f>C29/Calculations!$F$6*100</f>
        <v>86.171802972197</v>
      </c>
      <c r="E29" s="17">
        <f t="shared" si="5"/>
        <v>141.22888888888906</v>
      </c>
      <c r="F29" s="29">
        <f>E29/Calculations!$H$6*100</f>
        <v>96.07407407407419</v>
      </c>
      <c r="J29" s="2"/>
      <c r="K29" s="3"/>
    </row>
    <row r="30" spans="1:11" x14ac:dyDescent="0.25">
      <c r="A30" s="26">
        <v>24</v>
      </c>
      <c r="B30" s="17">
        <f t="shared" si="4"/>
        <v>730.48320000000001</v>
      </c>
      <c r="C30" s="27">
        <f>IF(B30&gt;$E$37,(Calculations!$G$36+(($E$41/1000)*(B30-$E$37))),(C29+((Calculations!$G$37/1000)*30.4368)))</f>
        <v>681.28012636627307</v>
      </c>
      <c r="D30" s="28">
        <f>C30/Calculations!$F$6*100</f>
        <v>87.343605944393985</v>
      </c>
      <c r="E30" s="17">
        <f t="shared" si="5"/>
        <v>141.33777777777794</v>
      </c>
      <c r="F30" s="29">
        <f>E30/Calculations!$H$6*100</f>
        <v>96.148148148148266</v>
      </c>
      <c r="J30" s="2"/>
      <c r="K30" s="3"/>
    </row>
    <row r="31" spans="1:11" x14ac:dyDescent="0.25">
      <c r="A31" s="26">
        <v>25</v>
      </c>
      <c r="B31" s="17">
        <f t="shared" si="4"/>
        <v>760.92000000000007</v>
      </c>
      <c r="C31" s="27">
        <f>IF(B31&gt;$E$37,(Calculations!$G$36+(($E$41/1000)*(B31-$E$37))),(C30+((Calculations!$G$37/1000)*30.4368)))</f>
        <v>690.42018954940966</v>
      </c>
      <c r="D31" s="28">
        <f>C31/Calculations!$F$6*100</f>
        <v>88.515408916590971</v>
      </c>
      <c r="E31" s="17">
        <f t="shared" si="5"/>
        <v>141.44666666666683</v>
      </c>
      <c r="F31" s="29">
        <f>E31/Calculations!$H$6*100</f>
        <v>96.222222222222328</v>
      </c>
      <c r="J31" s="2"/>
      <c r="K31" s="3"/>
    </row>
    <row r="32" spans="1:11" x14ac:dyDescent="0.25">
      <c r="A32" s="26">
        <v>26</v>
      </c>
      <c r="B32" s="17">
        <f t="shared" si="4"/>
        <v>791.35680000000002</v>
      </c>
      <c r="C32" s="27">
        <f>IF(B32&gt;$E$37,(Calculations!$G$36+(($E$41/1000)*(B32-$E$37))),(C31+((Calculations!$G$37/1000)*30.4368)))</f>
        <v>699.56025273254625</v>
      </c>
      <c r="D32" s="28">
        <f>C32/Calculations!$F$6*100</f>
        <v>89.687211888787971</v>
      </c>
      <c r="E32" s="17">
        <f t="shared" si="5"/>
        <v>141.55555555555571</v>
      </c>
      <c r="F32" s="29">
        <f>E32/Calculations!$H$6*100</f>
        <v>96.296296296296404</v>
      </c>
      <c r="J32" s="2"/>
      <c r="K32" s="3"/>
    </row>
    <row r="33" spans="1:11" x14ac:dyDescent="0.25">
      <c r="A33" s="26">
        <v>27</v>
      </c>
      <c r="B33" s="17">
        <f t="shared" si="4"/>
        <v>821.79360000000008</v>
      </c>
      <c r="C33" s="27">
        <f>IF(B33&gt;$E$37,(Calculations!$G$36+(($E$41/1000)*(B33-$E$37))),(C32+((Calculations!$G$37/1000)*30.4368)))</f>
        <v>708.70031591568272</v>
      </c>
      <c r="D33" s="28">
        <f>C33/Calculations!$F$6*100</f>
        <v>90.859014860984971</v>
      </c>
      <c r="E33" s="17">
        <f t="shared" si="5"/>
        <v>141.6644444444446</v>
      </c>
      <c r="F33" s="29">
        <f>E33/Calculations!$H$6*100</f>
        <v>96.370370370370466</v>
      </c>
      <c r="J33" s="2"/>
      <c r="K33" s="3"/>
    </row>
    <row r="34" spans="1:11" ht="15.75" thickBot="1" x14ac:dyDescent="0.3">
      <c r="A34" s="30">
        <v>28</v>
      </c>
      <c r="B34" s="31">
        <f t="shared" si="4"/>
        <v>852.23040000000003</v>
      </c>
      <c r="C34" s="32">
        <f>IF(B34&gt;$E$37,(Calculations!$G$36+(($E$41/1000)*(B34-$E$37))),(C33+((Calculations!$G$37/1000)*30.4368)))</f>
        <v>717.84037909881931</v>
      </c>
      <c r="D34" s="33">
        <f>C34/Calculations!$F$6*100</f>
        <v>92.03081783318197</v>
      </c>
      <c r="E34" s="31">
        <f t="shared" si="5"/>
        <v>141.77333333333348</v>
      </c>
      <c r="F34" s="34">
        <f>E34/Calculations!$H$6*100</f>
        <v>96.444444444444542</v>
      </c>
      <c r="J34" s="2"/>
      <c r="K34" s="3"/>
    </row>
    <row r="37" spans="1:11" x14ac:dyDescent="0.25">
      <c r="A37" t="s">
        <v>19</v>
      </c>
      <c r="E37" s="2">
        <f>Calculations!F16*30.4368</f>
        <v>669.6096</v>
      </c>
    </row>
    <row r="38" spans="1:11" x14ac:dyDescent="0.25">
      <c r="A38" t="s">
        <v>48</v>
      </c>
      <c r="E38">
        <f>Calculations!F6*0.92</f>
        <v>717.6</v>
      </c>
      <c r="F38">
        <f>0.97*Calculations!H6</f>
        <v>142.59</v>
      </c>
      <c r="G38" t="s">
        <v>36</v>
      </c>
    </row>
    <row r="39" spans="1:11" x14ac:dyDescent="0.25">
      <c r="A39" t="s">
        <v>49</v>
      </c>
      <c r="E39" s="2">
        <f>(73.195*(Calculations!F8/45))+E38</f>
        <v>784.2887777777778</v>
      </c>
    </row>
    <row r="40" spans="1:11" x14ac:dyDescent="0.25">
      <c r="A40" t="s">
        <v>18</v>
      </c>
      <c r="E40" s="44">
        <v>13.5</v>
      </c>
    </row>
    <row r="41" spans="1:11" x14ac:dyDescent="0.25">
      <c r="A41" t="s">
        <v>50</v>
      </c>
      <c r="E41" s="2">
        <f>(('Custom Table'!E39-Calculations!G36)/(('Custom Table'!E40*30.4368)-7))*1000</f>
        <v>300.2964563665218</v>
      </c>
      <c r="F41" s="19">
        <f>('Custom Table'!F38-Calculations!I36)/('Custom Table'!E40*30.4368)</f>
        <v>3.5775406379412026E-3</v>
      </c>
      <c r="G41" t="s">
        <v>36</v>
      </c>
    </row>
    <row r="43" spans="1:11" x14ac:dyDescent="0.25">
      <c r="A43" t="s">
        <v>51</v>
      </c>
    </row>
    <row r="44" spans="1:11" x14ac:dyDescent="0.25">
      <c r="A44" t="s">
        <v>52</v>
      </c>
      <c r="B44" s="2">
        <f>Calculations!I36</f>
        <v>141.12</v>
      </c>
    </row>
    <row r="45" spans="1:11" x14ac:dyDescent="0.25">
      <c r="A45" t="s">
        <v>53</v>
      </c>
      <c r="B45">
        <f>Calculations!H8</f>
        <v>80.850000000000009</v>
      </c>
    </row>
    <row r="46" spans="1:11" x14ac:dyDescent="0.25">
      <c r="A46" t="s">
        <v>54</v>
      </c>
      <c r="B46">
        <f>((B44-B45)/2)+B45</f>
        <v>110.98500000000001</v>
      </c>
    </row>
    <row r="47" spans="1:11" x14ac:dyDescent="0.25">
      <c r="A47" t="s">
        <v>55</v>
      </c>
      <c r="B47">
        <f>((B44-B45)/4)+B46</f>
        <v>126.05250000000001</v>
      </c>
    </row>
    <row r="49" spans="1:3" x14ac:dyDescent="0.25">
      <c r="A49" t="s">
        <v>56</v>
      </c>
      <c r="C49">
        <f>(B46-B45)/182.6208</f>
        <v>0.16501406192503815</v>
      </c>
    </row>
    <row r="50" spans="1:3" x14ac:dyDescent="0.25">
      <c r="A50" t="s">
        <v>57</v>
      </c>
      <c r="C50">
        <f>(B47-B46)/182.6208</f>
        <v>8.2507030962519032E-2</v>
      </c>
    </row>
    <row r="51" spans="1:3" x14ac:dyDescent="0.25">
      <c r="A51" t="s">
        <v>58</v>
      </c>
      <c r="C51">
        <f>(B44-B47)/(E37-365.2416)</f>
        <v>4.9504218577511416E-2</v>
      </c>
    </row>
  </sheetData>
  <sheetProtection sheet="1" objects="1" scenarios="1"/>
  <mergeCells count="2">
    <mergeCell ref="A2:F2"/>
    <mergeCell ref="A3:F3"/>
  </mergeCells>
  <printOptions horizontalCentered="1"/>
  <pageMargins left="0.7" right="0.7" top="0.75" bottom="0.75" header="0.3" footer="0.3"/>
  <pageSetup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14"/>
  <sheetViews>
    <sheetView workbookViewId="0">
      <selection activeCell="G22" sqref="G22"/>
    </sheetView>
  </sheetViews>
  <sheetFormatPr defaultColWidth="9.140625" defaultRowHeight="15" x14ac:dyDescent="0.25"/>
  <cols>
    <col min="1" max="1" width="9.140625" style="16"/>
    <col min="2" max="2" width="14.42578125" style="16" customWidth="1"/>
    <col min="3" max="3" width="14.5703125" style="16" bestFit="1" customWidth="1"/>
    <col min="4" max="4" width="11" style="16" bestFit="1" customWidth="1"/>
    <col min="5" max="5" width="18.42578125" style="16" bestFit="1" customWidth="1"/>
    <col min="6" max="6" width="14.28515625" style="16" customWidth="1"/>
    <col min="7" max="7" width="18.42578125" style="16" customWidth="1"/>
    <col min="8" max="8" width="9.140625" style="16"/>
    <col min="9" max="9" width="10.5703125" style="16" bestFit="1" customWidth="1"/>
  </cols>
  <sheetData>
    <row r="1" spans="1:10" x14ac:dyDescent="0.25">
      <c r="A1" s="15" t="s">
        <v>194</v>
      </c>
      <c r="B1" s="15" t="s">
        <v>195</v>
      </c>
      <c r="C1" s="15" t="s">
        <v>196</v>
      </c>
      <c r="D1" s="15" t="s">
        <v>199</v>
      </c>
      <c r="E1" s="15" t="s">
        <v>197</v>
      </c>
      <c r="F1" s="15" t="s">
        <v>198</v>
      </c>
      <c r="G1" s="15" t="s">
        <v>200</v>
      </c>
      <c r="H1" s="15" t="s">
        <v>20</v>
      </c>
      <c r="I1" s="15" t="s">
        <v>2</v>
      </c>
      <c r="J1" s="15" t="s">
        <v>37</v>
      </c>
    </row>
    <row r="2" spans="1:10" ht="16.5" x14ac:dyDescent="0.25">
      <c r="A2" s="45">
        <v>10089</v>
      </c>
      <c r="B2" s="52" t="s">
        <v>191</v>
      </c>
      <c r="C2" s="49">
        <v>46148</v>
      </c>
      <c r="D2" s="46">
        <v>289</v>
      </c>
      <c r="E2" s="41">
        <v>780</v>
      </c>
      <c r="F2" s="41">
        <v>130.81</v>
      </c>
      <c r="G2" s="41">
        <v>152.4</v>
      </c>
      <c r="H2" s="51">
        <v>8.2867477803354159</v>
      </c>
      <c r="I2" s="17">
        <f>D2/E2*100</f>
        <v>37.051282051282051</v>
      </c>
      <c r="J2" s="17">
        <f>F2/G2*100</f>
        <v>85.833333333333329</v>
      </c>
    </row>
    <row r="3" spans="1:10" ht="16.5" x14ac:dyDescent="0.25">
      <c r="A3" s="47">
        <v>10094</v>
      </c>
      <c r="B3" s="53" t="s">
        <v>192</v>
      </c>
      <c r="C3" s="49">
        <v>46148</v>
      </c>
      <c r="D3" s="48">
        <v>281</v>
      </c>
      <c r="E3" s="41">
        <v>780</v>
      </c>
      <c r="F3" s="41">
        <v>127.63500000000001</v>
      </c>
      <c r="G3" s="41">
        <v>152.4</v>
      </c>
      <c r="H3" s="51">
        <v>8.2538638605721797</v>
      </c>
      <c r="I3" s="17">
        <f t="shared" ref="I3:I26" si="0">D3/E3*100</f>
        <v>36.025641025641022</v>
      </c>
      <c r="J3" s="17">
        <f t="shared" ref="J3:J26" si="1">F3/G3*100</f>
        <v>83.75</v>
      </c>
    </row>
    <row r="4" spans="1:10" ht="16.5" x14ac:dyDescent="0.25">
      <c r="A4" s="45">
        <v>10104</v>
      </c>
      <c r="B4" s="52" t="s">
        <v>193</v>
      </c>
      <c r="C4" s="49">
        <v>46148</v>
      </c>
      <c r="D4" s="46">
        <v>287</v>
      </c>
      <c r="E4" s="41">
        <v>780</v>
      </c>
      <c r="F4" s="41">
        <v>135.255</v>
      </c>
      <c r="G4" s="41">
        <v>152.4</v>
      </c>
      <c r="H4" s="51">
        <v>8.1552121012824728</v>
      </c>
      <c r="I4" s="17">
        <f t="shared" si="0"/>
        <v>36.794871794871796</v>
      </c>
      <c r="J4" s="17">
        <f t="shared" si="1"/>
        <v>88.75</v>
      </c>
    </row>
    <row r="5" spans="1:10" ht="16.5" x14ac:dyDescent="0.25">
      <c r="A5" s="47">
        <v>10106</v>
      </c>
      <c r="B5" s="50" t="s">
        <v>89</v>
      </c>
      <c r="C5" s="49">
        <v>46148</v>
      </c>
      <c r="D5" s="48">
        <v>249</v>
      </c>
      <c r="E5" s="41">
        <v>780</v>
      </c>
      <c r="F5" s="41">
        <v>132.715</v>
      </c>
      <c r="G5" s="41">
        <v>152.4</v>
      </c>
      <c r="H5" s="51">
        <v>8.1223281815192365</v>
      </c>
      <c r="I5" s="17">
        <f t="shared" si="0"/>
        <v>31.92307692307692</v>
      </c>
      <c r="J5" s="17">
        <f t="shared" si="1"/>
        <v>87.083333333333329</v>
      </c>
    </row>
    <row r="6" spans="1:10" ht="16.5" x14ac:dyDescent="0.25">
      <c r="A6" s="45">
        <v>10107</v>
      </c>
      <c r="B6" s="49" t="s">
        <v>89</v>
      </c>
      <c r="C6" s="49">
        <v>46148</v>
      </c>
      <c r="D6" s="46">
        <v>286</v>
      </c>
      <c r="E6" s="41">
        <v>780</v>
      </c>
      <c r="F6" s="41">
        <v>133.98500000000001</v>
      </c>
      <c r="G6" s="41">
        <v>152.4</v>
      </c>
      <c r="H6" s="51">
        <v>8.1223281815192365</v>
      </c>
      <c r="I6" s="17">
        <f t="shared" si="0"/>
        <v>36.666666666666664</v>
      </c>
      <c r="J6" s="17">
        <f t="shared" si="1"/>
        <v>87.916666666666671</v>
      </c>
    </row>
    <row r="7" spans="1:10" ht="16.5" x14ac:dyDescent="0.25">
      <c r="A7" s="47">
        <v>10108</v>
      </c>
      <c r="B7" s="50" t="s">
        <v>90</v>
      </c>
      <c r="C7" s="49">
        <v>46148</v>
      </c>
      <c r="D7" s="48">
        <v>232</v>
      </c>
      <c r="E7" s="41">
        <v>780</v>
      </c>
      <c r="F7" s="41">
        <v>131.44499999999999</v>
      </c>
      <c r="G7" s="41">
        <v>152.4</v>
      </c>
      <c r="H7" s="51">
        <v>8.0894442617560021</v>
      </c>
      <c r="I7" s="17">
        <f t="shared" si="0"/>
        <v>29.743589743589745</v>
      </c>
      <c r="J7" s="17">
        <f t="shared" si="1"/>
        <v>86.25</v>
      </c>
    </row>
    <row r="8" spans="1:10" ht="16.5" x14ac:dyDescent="0.25">
      <c r="A8" s="45">
        <v>10109</v>
      </c>
      <c r="B8" s="49" t="s">
        <v>90</v>
      </c>
      <c r="C8" s="49">
        <v>46148</v>
      </c>
      <c r="D8" s="46">
        <v>291</v>
      </c>
      <c r="E8" s="41">
        <v>780</v>
      </c>
      <c r="F8" s="41">
        <v>132.08000000000001</v>
      </c>
      <c r="G8" s="41">
        <v>152.4</v>
      </c>
      <c r="H8" s="51">
        <v>8.0894442617560021</v>
      </c>
      <c r="I8" s="17">
        <f t="shared" si="0"/>
        <v>37.307692307692307</v>
      </c>
      <c r="J8" s="17">
        <f t="shared" si="1"/>
        <v>86.666666666666671</v>
      </c>
    </row>
    <row r="9" spans="1:10" ht="16.5" x14ac:dyDescent="0.25">
      <c r="A9" s="47">
        <v>10110</v>
      </c>
      <c r="B9" s="50" t="s">
        <v>90</v>
      </c>
      <c r="C9" s="49">
        <v>46148</v>
      </c>
      <c r="D9" s="48">
        <v>267</v>
      </c>
      <c r="E9" s="41">
        <v>780</v>
      </c>
      <c r="F9" s="41">
        <v>132.08000000000001</v>
      </c>
      <c r="G9" s="41">
        <v>152.4</v>
      </c>
      <c r="H9" s="51">
        <v>8.0894442617560021</v>
      </c>
      <c r="I9" s="17">
        <f t="shared" si="0"/>
        <v>34.230769230769234</v>
      </c>
      <c r="J9" s="17">
        <f t="shared" si="1"/>
        <v>86.666666666666671</v>
      </c>
    </row>
    <row r="10" spans="1:10" ht="16.5" x14ac:dyDescent="0.25">
      <c r="A10" s="45">
        <v>10111</v>
      </c>
      <c r="B10" s="49" t="s">
        <v>90</v>
      </c>
      <c r="C10" s="49">
        <v>46148</v>
      </c>
      <c r="D10" s="46">
        <v>267</v>
      </c>
      <c r="E10" s="41">
        <v>780</v>
      </c>
      <c r="F10" s="41">
        <v>132.08000000000001</v>
      </c>
      <c r="G10" s="41">
        <v>152.4</v>
      </c>
      <c r="H10" s="51">
        <v>8.0894442617560021</v>
      </c>
      <c r="I10" s="17">
        <f t="shared" si="0"/>
        <v>34.230769230769234</v>
      </c>
      <c r="J10" s="17">
        <f t="shared" si="1"/>
        <v>86.666666666666671</v>
      </c>
    </row>
    <row r="11" spans="1:10" ht="16.5" x14ac:dyDescent="0.25">
      <c r="A11" s="47">
        <v>10112</v>
      </c>
      <c r="B11" s="50" t="s">
        <v>91</v>
      </c>
      <c r="C11" s="49">
        <v>46148</v>
      </c>
      <c r="D11" s="48">
        <v>314</v>
      </c>
      <c r="E11" s="41">
        <v>780</v>
      </c>
      <c r="F11" s="41">
        <v>128.905</v>
      </c>
      <c r="G11" s="41">
        <v>152.4</v>
      </c>
      <c r="H11" s="51">
        <v>8.0565603419927658</v>
      </c>
      <c r="I11" s="17">
        <f t="shared" si="0"/>
        <v>40.256410256410255</v>
      </c>
      <c r="J11" s="17">
        <f t="shared" si="1"/>
        <v>84.583333333333329</v>
      </c>
    </row>
    <row r="12" spans="1:10" ht="16.5" x14ac:dyDescent="0.25">
      <c r="A12" s="45">
        <v>10113</v>
      </c>
      <c r="B12" s="49" t="s">
        <v>91</v>
      </c>
      <c r="C12" s="49">
        <v>46148</v>
      </c>
      <c r="D12" s="46">
        <v>306</v>
      </c>
      <c r="E12" s="41">
        <v>780</v>
      </c>
      <c r="F12" s="41">
        <v>135.255</v>
      </c>
      <c r="G12" s="41">
        <v>152.4</v>
      </c>
      <c r="H12" s="51">
        <v>8.0565603419927658</v>
      </c>
      <c r="I12" s="17">
        <f t="shared" si="0"/>
        <v>39.230769230769234</v>
      </c>
      <c r="J12" s="17">
        <f t="shared" si="1"/>
        <v>88.75</v>
      </c>
    </row>
    <row r="13" spans="1:10" ht="16.5" x14ac:dyDescent="0.25">
      <c r="A13" s="47">
        <v>10114</v>
      </c>
      <c r="B13" s="50" t="s">
        <v>91</v>
      </c>
      <c r="C13" s="49">
        <v>46148</v>
      </c>
      <c r="D13" s="48">
        <v>290</v>
      </c>
      <c r="E13" s="41">
        <v>780</v>
      </c>
      <c r="F13" s="41">
        <v>133.35</v>
      </c>
      <c r="G13" s="41">
        <v>152.4</v>
      </c>
      <c r="H13" s="51">
        <v>8.0565603419927658</v>
      </c>
      <c r="I13" s="17">
        <f t="shared" si="0"/>
        <v>37.179487179487182</v>
      </c>
      <c r="J13" s="17">
        <f t="shared" si="1"/>
        <v>87.499999999999986</v>
      </c>
    </row>
    <row r="14" spans="1:10" ht="16.5" x14ac:dyDescent="0.25">
      <c r="A14" s="45">
        <v>10115</v>
      </c>
      <c r="B14" s="49" t="s">
        <v>92</v>
      </c>
      <c r="C14" s="49">
        <v>46148</v>
      </c>
      <c r="D14" s="46">
        <v>252</v>
      </c>
      <c r="E14" s="41">
        <v>780</v>
      </c>
      <c r="F14" s="41">
        <v>139.69999999999999</v>
      </c>
      <c r="G14" s="41">
        <v>152.4</v>
      </c>
      <c r="H14" s="51">
        <v>8.0236764222295296</v>
      </c>
      <c r="I14" s="17">
        <f t="shared" si="0"/>
        <v>32.307692307692307</v>
      </c>
      <c r="J14" s="17">
        <f t="shared" si="1"/>
        <v>91.666666666666657</v>
      </c>
    </row>
    <row r="15" spans="1:10" ht="16.5" x14ac:dyDescent="0.25">
      <c r="A15" s="47">
        <v>10116</v>
      </c>
      <c r="B15" s="50" t="s">
        <v>93</v>
      </c>
      <c r="C15" s="49">
        <v>46148</v>
      </c>
      <c r="D15" s="48">
        <v>234</v>
      </c>
      <c r="E15" s="41">
        <v>780</v>
      </c>
      <c r="F15" s="41">
        <v>133.35</v>
      </c>
      <c r="G15" s="41">
        <v>152.4</v>
      </c>
      <c r="H15" s="51">
        <v>7.9907925024662942</v>
      </c>
      <c r="I15" s="17">
        <f t="shared" si="0"/>
        <v>30</v>
      </c>
      <c r="J15" s="17">
        <f t="shared" si="1"/>
        <v>87.499999999999986</v>
      </c>
    </row>
    <row r="16" spans="1:10" ht="16.5" x14ac:dyDescent="0.25">
      <c r="A16" s="45">
        <v>10118</v>
      </c>
      <c r="B16" s="49" t="s">
        <v>94</v>
      </c>
      <c r="C16" s="49">
        <v>46148</v>
      </c>
      <c r="D16" s="46">
        <v>320</v>
      </c>
      <c r="E16" s="41">
        <v>780</v>
      </c>
      <c r="F16" s="41">
        <v>116.84</v>
      </c>
      <c r="G16" s="41">
        <v>152.4</v>
      </c>
      <c r="H16" s="51">
        <v>7.957908582703058</v>
      </c>
      <c r="I16" s="17">
        <f t="shared" si="0"/>
        <v>41.025641025641022</v>
      </c>
      <c r="J16" s="17">
        <f t="shared" si="1"/>
        <v>76.666666666666657</v>
      </c>
    </row>
    <row r="17" spans="1:10" ht="16.5" x14ac:dyDescent="0.25">
      <c r="A17" s="47">
        <v>10119</v>
      </c>
      <c r="B17" s="50" t="s">
        <v>95</v>
      </c>
      <c r="C17" s="49">
        <v>46148</v>
      </c>
      <c r="D17" s="48">
        <v>260</v>
      </c>
      <c r="E17" s="41">
        <v>780</v>
      </c>
      <c r="F17" s="41">
        <v>121.92</v>
      </c>
      <c r="G17" s="41">
        <v>152.4</v>
      </c>
      <c r="H17" s="51">
        <v>7.9250246629398227</v>
      </c>
      <c r="I17" s="17">
        <f t="shared" si="0"/>
        <v>33.333333333333329</v>
      </c>
      <c r="J17" s="17">
        <f t="shared" si="1"/>
        <v>80</v>
      </c>
    </row>
    <row r="18" spans="1:10" ht="16.5" x14ac:dyDescent="0.25">
      <c r="A18" s="45">
        <v>10121</v>
      </c>
      <c r="B18" s="49" t="s">
        <v>95</v>
      </c>
      <c r="C18" s="49">
        <v>46148</v>
      </c>
      <c r="D18" s="46">
        <v>288</v>
      </c>
      <c r="E18" s="41">
        <v>780</v>
      </c>
      <c r="F18" s="41">
        <v>121.92</v>
      </c>
      <c r="G18" s="41">
        <v>152.4</v>
      </c>
      <c r="H18" s="51">
        <v>7.9250246629398227</v>
      </c>
      <c r="I18" s="17">
        <f t="shared" si="0"/>
        <v>36.923076923076927</v>
      </c>
      <c r="J18" s="17">
        <f t="shared" si="1"/>
        <v>80</v>
      </c>
    </row>
    <row r="19" spans="1:10" ht="16.5" x14ac:dyDescent="0.25">
      <c r="A19" s="47">
        <v>10122</v>
      </c>
      <c r="B19" s="50" t="s">
        <v>95</v>
      </c>
      <c r="C19" s="49">
        <v>46148</v>
      </c>
      <c r="D19" s="48">
        <v>252</v>
      </c>
      <c r="E19" s="41">
        <v>780</v>
      </c>
      <c r="F19" s="41">
        <v>119.38</v>
      </c>
      <c r="G19" s="41">
        <v>152.4</v>
      </c>
      <c r="H19" s="51">
        <v>7.9250246629398227</v>
      </c>
      <c r="I19" s="17">
        <f t="shared" si="0"/>
        <v>32.307692307692307</v>
      </c>
      <c r="J19" s="17">
        <f t="shared" si="1"/>
        <v>78.333333333333329</v>
      </c>
    </row>
    <row r="20" spans="1:10" ht="16.5" x14ac:dyDescent="0.25">
      <c r="A20" s="45">
        <v>10123</v>
      </c>
      <c r="B20" s="49" t="s">
        <v>95</v>
      </c>
      <c r="C20" s="49">
        <v>46148</v>
      </c>
      <c r="D20" s="46">
        <v>298</v>
      </c>
      <c r="E20" s="41">
        <v>780</v>
      </c>
      <c r="F20" s="41">
        <v>119.38</v>
      </c>
      <c r="G20" s="41">
        <v>152.4</v>
      </c>
      <c r="H20" s="51">
        <v>7.9250246629398227</v>
      </c>
      <c r="I20" s="17">
        <f t="shared" si="0"/>
        <v>38.205128205128204</v>
      </c>
      <c r="J20" s="17">
        <f t="shared" si="1"/>
        <v>78.333333333333329</v>
      </c>
    </row>
    <row r="21" spans="1:10" ht="16.5" x14ac:dyDescent="0.25">
      <c r="A21" s="47">
        <v>10124</v>
      </c>
      <c r="B21" s="50" t="s">
        <v>96</v>
      </c>
      <c r="C21" s="49">
        <v>46148</v>
      </c>
      <c r="D21" s="48">
        <v>297</v>
      </c>
      <c r="E21" s="41">
        <v>780</v>
      </c>
      <c r="F21" s="41">
        <v>119.38</v>
      </c>
      <c r="G21" s="41">
        <v>152.4</v>
      </c>
      <c r="H21" s="51">
        <v>7.8921407431765864</v>
      </c>
      <c r="I21" s="17">
        <f t="shared" si="0"/>
        <v>38.076923076923073</v>
      </c>
      <c r="J21" s="17">
        <f t="shared" si="1"/>
        <v>78.333333333333329</v>
      </c>
    </row>
    <row r="22" spans="1:10" ht="16.5" x14ac:dyDescent="0.25">
      <c r="A22" s="45">
        <v>10125</v>
      </c>
      <c r="B22" s="49" t="s">
        <v>96</v>
      </c>
      <c r="C22" s="49">
        <v>46148</v>
      </c>
      <c r="D22" s="46">
        <v>263</v>
      </c>
      <c r="E22" s="41">
        <v>780</v>
      </c>
      <c r="F22" s="41">
        <v>124.46000000000001</v>
      </c>
      <c r="G22" s="41">
        <v>152.4</v>
      </c>
      <c r="H22" s="51">
        <v>7.8921407431765864</v>
      </c>
      <c r="I22" s="17">
        <f t="shared" si="0"/>
        <v>33.717948717948723</v>
      </c>
      <c r="J22" s="17">
        <f t="shared" si="1"/>
        <v>81.666666666666671</v>
      </c>
    </row>
    <row r="23" spans="1:10" ht="16.5" x14ac:dyDescent="0.25">
      <c r="A23" s="47">
        <v>10126</v>
      </c>
      <c r="B23" s="50" t="s">
        <v>96</v>
      </c>
      <c r="C23" s="49">
        <v>46148</v>
      </c>
      <c r="D23" s="48">
        <v>282</v>
      </c>
      <c r="E23" s="41">
        <v>780</v>
      </c>
      <c r="F23" s="41">
        <v>130.81</v>
      </c>
      <c r="G23" s="41">
        <v>152.4</v>
      </c>
      <c r="H23" s="51">
        <v>7.8921407431765864</v>
      </c>
      <c r="I23" s="17">
        <f t="shared" si="0"/>
        <v>36.153846153846153</v>
      </c>
      <c r="J23" s="17">
        <f t="shared" si="1"/>
        <v>85.833333333333329</v>
      </c>
    </row>
    <row r="24" spans="1:10" ht="16.5" x14ac:dyDescent="0.25">
      <c r="A24" s="45">
        <v>10129</v>
      </c>
      <c r="B24" s="49" t="s">
        <v>97</v>
      </c>
      <c r="C24" s="49">
        <v>46148</v>
      </c>
      <c r="D24" s="46">
        <v>257</v>
      </c>
      <c r="E24" s="41">
        <v>780</v>
      </c>
      <c r="F24" s="41">
        <v>132.08000000000001</v>
      </c>
      <c r="G24" s="41">
        <v>152.4</v>
      </c>
      <c r="H24" s="51">
        <v>7.7934889838868795</v>
      </c>
      <c r="I24" s="17">
        <f t="shared" si="0"/>
        <v>32.948717948717949</v>
      </c>
      <c r="J24" s="17">
        <f t="shared" si="1"/>
        <v>86.666666666666671</v>
      </c>
    </row>
    <row r="25" spans="1:10" ht="16.5" x14ac:dyDescent="0.25">
      <c r="A25" s="47">
        <v>10130</v>
      </c>
      <c r="B25" s="50" t="s">
        <v>97</v>
      </c>
      <c r="C25" s="49">
        <v>46148</v>
      </c>
      <c r="D25" s="48">
        <v>303</v>
      </c>
      <c r="E25" s="41">
        <v>780</v>
      </c>
      <c r="F25" s="41">
        <v>128.27000000000001</v>
      </c>
      <c r="G25" s="41">
        <v>152.4</v>
      </c>
      <c r="H25" s="51">
        <v>7.7934889838868795</v>
      </c>
      <c r="I25" s="17">
        <f t="shared" si="0"/>
        <v>38.846153846153847</v>
      </c>
      <c r="J25" s="17">
        <f t="shared" si="1"/>
        <v>84.166666666666671</v>
      </c>
    </row>
    <row r="26" spans="1:10" ht="16.5" x14ac:dyDescent="0.25">
      <c r="A26" s="45">
        <v>10132</v>
      </c>
      <c r="B26" s="49" t="s">
        <v>97</v>
      </c>
      <c r="C26" s="49">
        <v>46148</v>
      </c>
      <c r="D26" s="46">
        <v>282</v>
      </c>
      <c r="E26" s="41">
        <v>780</v>
      </c>
      <c r="F26" s="41">
        <v>132.08000000000001</v>
      </c>
      <c r="G26" s="41">
        <v>152.4</v>
      </c>
      <c r="H26" s="51">
        <v>7.7934889838868795</v>
      </c>
      <c r="I26" s="17">
        <f t="shared" si="0"/>
        <v>36.153846153846153</v>
      </c>
      <c r="J26" s="17">
        <f t="shared" si="1"/>
        <v>86.666666666666671</v>
      </c>
    </row>
    <row r="27" spans="1:10" ht="16.5" x14ac:dyDescent="0.25">
      <c r="A27" s="47">
        <v>10133</v>
      </c>
      <c r="B27" s="50" t="s">
        <v>97</v>
      </c>
      <c r="C27" s="49">
        <v>46148</v>
      </c>
      <c r="D27" s="48">
        <v>293</v>
      </c>
      <c r="E27" s="41">
        <v>780</v>
      </c>
      <c r="F27" s="41">
        <v>127</v>
      </c>
      <c r="G27" s="41">
        <v>152.4</v>
      </c>
      <c r="H27" s="51">
        <v>7.7934889838868795</v>
      </c>
      <c r="I27" s="17">
        <f t="shared" ref="I27:I56" si="2">D27/E27*100</f>
        <v>37.564102564102562</v>
      </c>
      <c r="J27" s="17">
        <f t="shared" ref="J27:J56" si="3">F27/G27*100</f>
        <v>83.333333333333329</v>
      </c>
    </row>
    <row r="28" spans="1:10" ht="16.5" x14ac:dyDescent="0.25">
      <c r="A28" s="45">
        <v>10134</v>
      </c>
      <c r="B28" s="49" t="s">
        <v>98</v>
      </c>
      <c r="C28" s="49">
        <v>46148</v>
      </c>
      <c r="D28" s="46">
        <v>269</v>
      </c>
      <c r="E28" s="41">
        <v>780</v>
      </c>
      <c r="F28" s="41">
        <v>129.54</v>
      </c>
      <c r="G28" s="41">
        <v>152.4</v>
      </c>
      <c r="H28" s="51">
        <v>7.7606050641236433</v>
      </c>
      <c r="I28" s="17">
        <f t="shared" si="2"/>
        <v>34.487179487179489</v>
      </c>
      <c r="J28" s="17">
        <f t="shared" si="3"/>
        <v>84.999999999999986</v>
      </c>
    </row>
    <row r="29" spans="1:10" ht="16.5" x14ac:dyDescent="0.25">
      <c r="A29" s="47">
        <v>10135</v>
      </c>
      <c r="B29" s="50" t="s">
        <v>98</v>
      </c>
      <c r="C29" s="49">
        <v>46148</v>
      </c>
      <c r="D29" s="48">
        <v>284</v>
      </c>
      <c r="E29" s="41">
        <v>780</v>
      </c>
      <c r="F29" s="41">
        <v>127</v>
      </c>
      <c r="G29" s="41">
        <v>152.4</v>
      </c>
      <c r="H29" s="51">
        <v>7.7606050641236433</v>
      </c>
      <c r="I29" s="17">
        <f t="shared" si="2"/>
        <v>36.410256410256409</v>
      </c>
      <c r="J29" s="17">
        <f t="shared" si="3"/>
        <v>83.333333333333329</v>
      </c>
    </row>
    <row r="30" spans="1:10" ht="16.5" x14ac:dyDescent="0.25">
      <c r="A30" s="45">
        <v>10136</v>
      </c>
      <c r="B30" s="49" t="s">
        <v>98</v>
      </c>
      <c r="C30" s="49">
        <v>46148</v>
      </c>
      <c r="D30" s="46">
        <v>248</v>
      </c>
      <c r="E30" s="41">
        <v>780</v>
      </c>
      <c r="F30" s="41">
        <v>124.46000000000001</v>
      </c>
      <c r="G30" s="41">
        <v>152.4</v>
      </c>
      <c r="H30" s="51">
        <v>7.7606050641236433</v>
      </c>
      <c r="I30" s="17">
        <f t="shared" si="2"/>
        <v>31.794871794871792</v>
      </c>
      <c r="J30" s="17">
        <f t="shared" si="3"/>
        <v>81.666666666666671</v>
      </c>
    </row>
    <row r="31" spans="1:10" ht="16.5" x14ac:dyDescent="0.25">
      <c r="A31" s="47">
        <v>10137</v>
      </c>
      <c r="B31" s="50" t="s">
        <v>98</v>
      </c>
      <c r="C31" s="49">
        <v>46148</v>
      </c>
      <c r="D31" s="48">
        <v>309</v>
      </c>
      <c r="E31" s="41">
        <v>780</v>
      </c>
      <c r="F31" s="41">
        <v>124.46000000000001</v>
      </c>
      <c r="G31" s="41">
        <v>152.4</v>
      </c>
      <c r="H31" s="51">
        <v>7.7606050641236433</v>
      </c>
      <c r="I31" s="17">
        <f t="shared" si="2"/>
        <v>39.615384615384613</v>
      </c>
      <c r="J31" s="17">
        <f t="shared" si="3"/>
        <v>81.666666666666671</v>
      </c>
    </row>
    <row r="32" spans="1:10" ht="16.5" x14ac:dyDescent="0.25">
      <c r="A32" s="45">
        <v>10138</v>
      </c>
      <c r="B32" s="49" t="s">
        <v>98</v>
      </c>
      <c r="C32" s="49">
        <v>46148</v>
      </c>
      <c r="D32" s="46">
        <v>227</v>
      </c>
      <c r="E32" s="41">
        <v>780</v>
      </c>
      <c r="F32" s="41">
        <v>130.81</v>
      </c>
      <c r="G32" s="41">
        <v>152.4</v>
      </c>
      <c r="H32" s="51">
        <v>7.7606050641236433</v>
      </c>
      <c r="I32" s="17">
        <f t="shared" si="2"/>
        <v>29.102564102564106</v>
      </c>
      <c r="J32" s="17">
        <f t="shared" si="3"/>
        <v>85.833333333333329</v>
      </c>
    </row>
    <row r="33" spans="1:10" ht="16.5" x14ac:dyDescent="0.25">
      <c r="A33" s="47">
        <v>10139</v>
      </c>
      <c r="B33" s="50" t="s">
        <v>99</v>
      </c>
      <c r="C33" s="49">
        <v>46148</v>
      </c>
      <c r="D33" s="48">
        <v>273</v>
      </c>
      <c r="E33" s="41">
        <v>780</v>
      </c>
      <c r="F33" s="41">
        <v>127</v>
      </c>
      <c r="G33" s="41">
        <v>152.4</v>
      </c>
      <c r="H33" s="51">
        <v>7.7277211443604079</v>
      </c>
      <c r="I33" s="17">
        <f t="shared" si="2"/>
        <v>35</v>
      </c>
      <c r="J33" s="17">
        <f t="shared" si="3"/>
        <v>83.333333333333329</v>
      </c>
    </row>
    <row r="34" spans="1:10" ht="16.5" x14ac:dyDescent="0.25">
      <c r="A34" s="45">
        <v>10140</v>
      </c>
      <c r="B34" s="49" t="s">
        <v>99</v>
      </c>
      <c r="C34" s="49">
        <v>46148</v>
      </c>
      <c r="D34" s="46">
        <v>271</v>
      </c>
      <c r="E34" s="41">
        <v>780</v>
      </c>
      <c r="F34" s="41">
        <v>121.92</v>
      </c>
      <c r="G34" s="41">
        <v>152.4</v>
      </c>
      <c r="H34" s="51">
        <v>7.7277211443604079</v>
      </c>
      <c r="I34" s="17">
        <f t="shared" si="2"/>
        <v>34.743589743589745</v>
      </c>
      <c r="J34" s="17">
        <f t="shared" si="3"/>
        <v>80</v>
      </c>
    </row>
    <row r="35" spans="1:10" ht="16.5" x14ac:dyDescent="0.25">
      <c r="A35" s="47">
        <v>10141</v>
      </c>
      <c r="B35" s="50" t="s">
        <v>100</v>
      </c>
      <c r="C35" s="49">
        <v>46148</v>
      </c>
      <c r="D35" s="48">
        <v>273</v>
      </c>
      <c r="E35" s="41">
        <v>780</v>
      </c>
      <c r="F35" s="41">
        <v>134.62</v>
      </c>
      <c r="G35" s="41">
        <v>152.4</v>
      </c>
      <c r="H35" s="51">
        <v>7.6948372245971717</v>
      </c>
      <c r="I35" s="17">
        <f t="shared" si="2"/>
        <v>35</v>
      </c>
      <c r="J35" s="17">
        <f t="shared" si="3"/>
        <v>88.333333333333329</v>
      </c>
    </row>
    <row r="36" spans="1:10" ht="16.5" x14ac:dyDescent="0.25">
      <c r="A36" s="45">
        <v>10142</v>
      </c>
      <c r="B36" s="49" t="s">
        <v>100</v>
      </c>
      <c r="C36" s="49">
        <v>46148</v>
      </c>
      <c r="D36" s="46">
        <v>271</v>
      </c>
      <c r="E36" s="41">
        <v>780</v>
      </c>
      <c r="F36" s="41">
        <v>124.46000000000001</v>
      </c>
      <c r="G36" s="41">
        <v>152.4</v>
      </c>
      <c r="H36" s="51">
        <v>7.6948372245971717</v>
      </c>
      <c r="I36" s="17">
        <f t="shared" si="2"/>
        <v>34.743589743589745</v>
      </c>
      <c r="J36" s="17">
        <f t="shared" si="3"/>
        <v>81.666666666666671</v>
      </c>
    </row>
    <row r="37" spans="1:10" ht="16.5" x14ac:dyDescent="0.25">
      <c r="A37" s="47">
        <v>10143</v>
      </c>
      <c r="B37" s="50" t="s">
        <v>100</v>
      </c>
      <c r="C37" s="49">
        <v>46148</v>
      </c>
      <c r="D37" s="48">
        <v>228</v>
      </c>
      <c r="E37" s="41">
        <v>780</v>
      </c>
      <c r="F37" s="41">
        <v>125.73</v>
      </c>
      <c r="G37" s="41">
        <v>152.4</v>
      </c>
      <c r="H37" s="51">
        <v>7.6948372245971717</v>
      </c>
      <c r="I37" s="17">
        <f t="shared" si="2"/>
        <v>29.230769230769234</v>
      </c>
      <c r="J37" s="17">
        <f t="shared" si="3"/>
        <v>82.5</v>
      </c>
    </row>
    <row r="38" spans="1:10" ht="16.5" x14ac:dyDescent="0.25">
      <c r="A38" s="45">
        <v>10144</v>
      </c>
      <c r="B38" s="49" t="s">
        <v>101</v>
      </c>
      <c r="C38" s="49">
        <v>46148</v>
      </c>
      <c r="D38" s="46">
        <v>246</v>
      </c>
      <c r="E38" s="41">
        <v>780</v>
      </c>
      <c r="F38" s="41">
        <v>128.27000000000001</v>
      </c>
      <c r="G38" s="41">
        <v>152.4</v>
      </c>
      <c r="H38" s="51">
        <v>7.6619533048339363</v>
      </c>
      <c r="I38" s="17">
        <f t="shared" si="2"/>
        <v>31.538461538461537</v>
      </c>
      <c r="J38" s="17">
        <f t="shared" si="3"/>
        <v>84.166666666666671</v>
      </c>
    </row>
    <row r="39" spans="1:10" ht="16.5" x14ac:dyDescent="0.25">
      <c r="A39" s="47">
        <v>10145</v>
      </c>
      <c r="B39" s="50" t="s">
        <v>101</v>
      </c>
      <c r="C39" s="49">
        <v>46148</v>
      </c>
      <c r="D39" s="48">
        <v>263</v>
      </c>
      <c r="E39" s="41">
        <v>780</v>
      </c>
      <c r="F39" s="41">
        <v>119.38</v>
      </c>
      <c r="G39" s="41">
        <v>152.4</v>
      </c>
      <c r="H39" s="51">
        <v>7.6619533048339363</v>
      </c>
      <c r="I39" s="17">
        <f t="shared" si="2"/>
        <v>33.717948717948723</v>
      </c>
      <c r="J39" s="17">
        <f t="shared" si="3"/>
        <v>78.333333333333329</v>
      </c>
    </row>
    <row r="40" spans="1:10" ht="16.5" x14ac:dyDescent="0.25">
      <c r="A40" s="45">
        <v>10146</v>
      </c>
      <c r="B40" s="49" t="s">
        <v>101</v>
      </c>
      <c r="C40" s="49">
        <v>46148</v>
      </c>
      <c r="D40" s="46">
        <v>273</v>
      </c>
      <c r="E40" s="41">
        <v>780</v>
      </c>
      <c r="F40" s="41">
        <v>118.11</v>
      </c>
      <c r="G40" s="41">
        <v>152.4</v>
      </c>
      <c r="H40" s="51">
        <v>7.6619533048339363</v>
      </c>
      <c r="I40" s="17">
        <f t="shared" si="2"/>
        <v>35</v>
      </c>
      <c r="J40" s="17">
        <f t="shared" si="3"/>
        <v>77.5</v>
      </c>
    </row>
    <row r="41" spans="1:10" ht="16.5" x14ac:dyDescent="0.25">
      <c r="A41" s="47">
        <v>10147</v>
      </c>
      <c r="B41" s="50" t="s">
        <v>102</v>
      </c>
      <c r="C41" s="49">
        <v>46148</v>
      </c>
      <c r="D41" s="48">
        <v>297</v>
      </c>
      <c r="E41" s="41">
        <v>780</v>
      </c>
      <c r="F41" s="41">
        <v>121.92</v>
      </c>
      <c r="G41" s="41">
        <v>152.4</v>
      </c>
      <c r="H41" s="51">
        <v>7.5961854653074647</v>
      </c>
      <c r="I41" s="17">
        <f t="shared" si="2"/>
        <v>38.076923076923073</v>
      </c>
      <c r="J41" s="17">
        <f t="shared" si="3"/>
        <v>80</v>
      </c>
    </row>
    <row r="42" spans="1:10" ht="16.5" x14ac:dyDescent="0.25">
      <c r="A42" s="45">
        <v>10148</v>
      </c>
      <c r="B42" s="49" t="s">
        <v>102</v>
      </c>
      <c r="C42" s="49">
        <v>46148</v>
      </c>
      <c r="D42" s="46">
        <v>279</v>
      </c>
      <c r="E42" s="41">
        <v>780</v>
      </c>
      <c r="F42" s="41">
        <v>127</v>
      </c>
      <c r="G42" s="41">
        <v>152.4</v>
      </c>
      <c r="H42" s="51">
        <v>7.5961854653074647</v>
      </c>
      <c r="I42" s="17">
        <f t="shared" si="2"/>
        <v>35.769230769230766</v>
      </c>
      <c r="J42" s="17">
        <f t="shared" si="3"/>
        <v>83.333333333333329</v>
      </c>
    </row>
    <row r="43" spans="1:10" ht="16.5" x14ac:dyDescent="0.25">
      <c r="A43" s="47">
        <v>10149</v>
      </c>
      <c r="B43" s="50" t="s">
        <v>102</v>
      </c>
      <c r="C43" s="49">
        <v>46148</v>
      </c>
      <c r="D43" s="48">
        <v>241</v>
      </c>
      <c r="E43" s="41">
        <v>780</v>
      </c>
      <c r="F43" s="41">
        <v>127</v>
      </c>
      <c r="G43" s="41">
        <v>152.4</v>
      </c>
      <c r="H43" s="51">
        <v>7.5961854653074647</v>
      </c>
      <c r="I43" s="17">
        <f t="shared" si="2"/>
        <v>30.897435897435898</v>
      </c>
      <c r="J43" s="17">
        <f t="shared" si="3"/>
        <v>83.333333333333329</v>
      </c>
    </row>
    <row r="44" spans="1:10" ht="16.5" x14ac:dyDescent="0.25">
      <c r="A44" s="45">
        <v>10150</v>
      </c>
      <c r="B44" s="49" t="s">
        <v>102</v>
      </c>
      <c r="C44" s="49">
        <v>46148</v>
      </c>
      <c r="D44" s="46">
        <v>273</v>
      </c>
      <c r="E44" s="41">
        <v>780</v>
      </c>
      <c r="F44" s="41">
        <v>124.46000000000001</v>
      </c>
      <c r="G44" s="41">
        <v>152.4</v>
      </c>
      <c r="H44" s="51">
        <v>7.5961854653074647</v>
      </c>
      <c r="I44" s="17">
        <f t="shared" si="2"/>
        <v>35</v>
      </c>
      <c r="J44" s="17">
        <f t="shared" si="3"/>
        <v>81.666666666666671</v>
      </c>
    </row>
    <row r="45" spans="1:10" ht="16.5" x14ac:dyDescent="0.25">
      <c r="A45" s="47">
        <v>10151</v>
      </c>
      <c r="B45" s="50" t="s">
        <v>103</v>
      </c>
      <c r="C45" s="49">
        <v>46148</v>
      </c>
      <c r="D45" s="48">
        <v>241</v>
      </c>
      <c r="E45" s="41">
        <v>780</v>
      </c>
      <c r="F45" s="41">
        <v>127</v>
      </c>
      <c r="G45" s="41">
        <v>152.4</v>
      </c>
      <c r="H45" s="51">
        <v>7.5633015455442285</v>
      </c>
      <c r="I45" s="17">
        <f t="shared" si="2"/>
        <v>30.897435897435898</v>
      </c>
      <c r="J45" s="17">
        <f t="shared" si="3"/>
        <v>83.333333333333329</v>
      </c>
    </row>
    <row r="46" spans="1:10" ht="16.5" x14ac:dyDescent="0.25">
      <c r="A46" s="45">
        <v>10152</v>
      </c>
      <c r="B46" s="49" t="s">
        <v>103</v>
      </c>
      <c r="C46" s="49">
        <v>46148</v>
      </c>
      <c r="D46" s="46">
        <v>294</v>
      </c>
      <c r="E46" s="41">
        <v>780</v>
      </c>
      <c r="F46" s="41">
        <v>127</v>
      </c>
      <c r="G46" s="41">
        <v>152.4</v>
      </c>
      <c r="H46" s="51">
        <v>7.5633015455442285</v>
      </c>
      <c r="I46" s="17">
        <f t="shared" si="2"/>
        <v>37.692307692307693</v>
      </c>
      <c r="J46" s="17">
        <f t="shared" si="3"/>
        <v>83.333333333333329</v>
      </c>
    </row>
    <row r="47" spans="1:10" ht="16.5" x14ac:dyDescent="0.25">
      <c r="A47" s="47">
        <v>10153</v>
      </c>
      <c r="B47" s="50" t="s">
        <v>103</v>
      </c>
      <c r="C47" s="49">
        <v>46148</v>
      </c>
      <c r="D47" s="48">
        <v>250</v>
      </c>
      <c r="E47" s="41">
        <v>780</v>
      </c>
      <c r="F47" s="41">
        <v>124.46000000000001</v>
      </c>
      <c r="G47" s="41">
        <v>152.4</v>
      </c>
      <c r="H47" s="51">
        <v>7.5633015455442285</v>
      </c>
      <c r="I47" s="17">
        <f t="shared" si="2"/>
        <v>32.051282051282051</v>
      </c>
      <c r="J47" s="17">
        <f t="shared" si="3"/>
        <v>81.666666666666671</v>
      </c>
    </row>
    <row r="48" spans="1:10" ht="16.5" x14ac:dyDescent="0.25">
      <c r="A48" s="45">
        <v>10154</v>
      </c>
      <c r="B48" s="49" t="s">
        <v>103</v>
      </c>
      <c r="C48" s="49">
        <v>46148</v>
      </c>
      <c r="D48" s="46">
        <v>275</v>
      </c>
      <c r="E48" s="41">
        <v>780</v>
      </c>
      <c r="F48" s="41">
        <v>124.46000000000001</v>
      </c>
      <c r="G48" s="41">
        <v>152.4</v>
      </c>
      <c r="H48" s="51">
        <v>7.5633015455442285</v>
      </c>
      <c r="I48" s="17">
        <f t="shared" si="2"/>
        <v>35.256410256410255</v>
      </c>
      <c r="J48" s="17">
        <f t="shared" si="3"/>
        <v>81.666666666666671</v>
      </c>
    </row>
    <row r="49" spans="1:10" ht="16.5" x14ac:dyDescent="0.25">
      <c r="A49" s="47">
        <v>10155</v>
      </c>
      <c r="B49" s="50" t="s">
        <v>104</v>
      </c>
      <c r="C49" s="49">
        <v>46148</v>
      </c>
      <c r="D49" s="48">
        <v>301</v>
      </c>
      <c r="E49" s="41">
        <v>780</v>
      </c>
      <c r="F49" s="41">
        <v>121.92</v>
      </c>
      <c r="G49" s="41">
        <v>152.4</v>
      </c>
      <c r="H49" s="51">
        <v>7.5304176257809932</v>
      </c>
      <c r="I49" s="17">
        <f t="shared" si="2"/>
        <v>38.589743589743591</v>
      </c>
      <c r="J49" s="17">
        <f t="shared" si="3"/>
        <v>80</v>
      </c>
    </row>
    <row r="50" spans="1:10" ht="16.5" x14ac:dyDescent="0.25">
      <c r="A50" s="45">
        <v>10157</v>
      </c>
      <c r="B50" s="49" t="s">
        <v>105</v>
      </c>
      <c r="C50" s="49">
        <v>46148</v>
      </c>
      <c r="D50" s="46">
        <v>228</v>
      </c>
      <c r="E50" s="41">
        <v>780</v>
      </c>
      <c r="F50" s="41">
        <v>129.54</v>
      </c>
      <c r="G50" s="41">
        <v>152.4</v>
      </c>
      <c r="H50" s="51">
        <v>7.4975337060177569</v>
      </c>
      <c r="I50" s="17">
        <f t="shared" si="2"/>
        <v>29.230769230769234</v>
      </c>
      <c r="J50" s="17">
        <f t="shared" si="3"/>
        <v>84.999999999999986</v>
      </c>
    </row>
    <row r="51" spans="1:10" ht="16.5" x14ac:dyDescent="0.25">
      <c r="A51" s="47">
        <v>10158</v>
      </c>
      <c r="B51" s="50" t="s">
        <v>105</v>
      </c>
      <c r="C51" s="49">
        <v>46148</v>
      </c>
      <c r="D51" s="48">
        <v>304</v>
      </c>
      <c r="E51" s="41">
        <v>780</v>
      </c>
      <c r="F51" s="41">
        <v>124.46000000000001</v>
      </c>
      <c r="G51" s="41">
        <v>152.4</v>
      </c>
      <c r="H51" s="51">
        <v>7.4975337060177569</v>
      </c>
      <c r="I51" s="17">
        <f t="shared" si="2"/>
        <v>38.974358974358978</v>
      </c>
      <c r="J51" s="17">
        <f t="shared" si="3"/>
        <v>81.666666666666671</v>
      </c>
    </row>
    <row r="52" spans="1:10" ht="16.5" x14ac:dyDescent="0.25">
      <c r="A52" s="45">
        <v>10159</v>
      </c>
      <c r="B52" s="49" t="s">
        <v>105</v>
      </c>
      <c r="C52" s="49">
        <v>46148</v>
      </c>
      <c r="D52" s="46">
        <v>259</v>
      </c>
      <c r="E52" s="41">
        <v>780</v>
      </c>
      <c r="F52" s="41">
        <v>130.81</v>
      </c>
      <c r="G52" s="41">
        <v>152.4</v>
      </c>
      <c r="H52" s="51">
        <v>7.4975337060177569</v>
      </c>
      <c r="I52" s="17">
        <f t="shared" si="2"/>
        <v>33.205128205128204</v>
      </c>
      <c r="J52" s="17">
        <f t="shared" si="3"/>
        <v>85.833333333333329</v>
      </c>
    </row>
    <row r="53" spans="1:10" ht="16.5" x14ac:dyDescent="0.25">
      <c r="A53" s="47">
        <v>10160</v>
      </c>
      <c r="B53" s="50" t="s">
        <v>106</v>
      </c>
      <c r="C53" s="49">
        <v>46148</v>
      </c>
      <c r="D53" s="48">
        <v>266</v>
      </c>
      <c r="E53" s="41">
        <v>780</v>
      </c>
      <c r="F53" s="41">
        <v>129.54</v>
      </c>
      <c r="G53" s="41">
        <v>152.4</v>
      </c>
      <c r="H53" s="51">
        <v>7.4646497862545216</v>
      </c>
      <c r="I53" s="17">
        <f t="shared" si="2"/>
        <v>34.102564102564102</v>
      </c>
      <c r="J53" s="17">
        <f t="shared" si="3"/>
        <v>84.999999999999986</v>
      </c>
    </row>
    <row r="54" spans="1:10" ht="16.5" x14ac:dyDescent="0.25">
      <c r="A54" s="45">
        <v>10162</v>
      </c>
      <c r="B54" s="49" t="s">
        <v>106</v>
      </c>
      <c r="C54" s="49">
        <v>46148</v>
      </c>
      <c r="D54" s="46">
        <v>285</v>
      </c>
      <c r="E54" s="41">
        <v>780</v>
      </c>
      <c r="F54" s="41">
        <v>132.08000000000001</v>
      </c>
      <c r="G54" s="41">
        <v>152.4</v>
      </c>
      <c r="H54" s="51">
        <v>7.4646497862545216</v>
      </c>
      <c r="I54" s="17">
        <f t="shared" si="2"/>
        <v>36.538461538461533</v>
      </c>
      <c r="J54" s="17">
        <f t="shared" si="3"/>
        <v>86.666666666666671</v>
      </c>
    </row>
    <row r="55" spans="1:10" ht="16.5" x14ac:dyDescent="0.25">
      <c r="A55" s="47">
        <v>10163</v>
      </c>
      <c r="B55" s="50" t="s">
        <v>107</v>
      </c>
      <c r="C55" s="49">
        <v>46148</v>
      </c>
      <c r="D55" s="48">
        <v>270</v>
      </c>
      <c r="E55" s="41">
        <v>780</v>
      </c>
      <c r="F55" s="41">
        <v>129.54</v>
      </c>
      <c r="G55" s="41">
        <v>152.4</v>
      </c>
      <c r="H55" s="51">
        <v>7.4317658664912853</v>
      </c>
      <c r="I55" s="17">
        <f t="shared" si="2"/>
        <v>34.615384615384613</v>
      </c>
      <c r="J55" s="17">
        <f t="shared" si="3"/>
        <v>84.999999999999986</v>
      </c>
    </row>
    <row r="56" spans="1:10" ht="16.5" x14ac:dyDescent="0.25">
      <c r="A56" s="45">
        <v>10164</v>
      </c>
      <c r="B56" s="49" t="s">
        <v>108</v>
      </c>
      <c r="C56" s="49">
        <v>46148</v>
      </c>
      <c r="D56" s="46">
        <v>278</v>
      </c>
      <c r="E56" s="41">
        <v>780</v>
      </c>
      <c r="F56" s="41">
        <v>135.89000000000001</v>
      </c>
      <c r="G56" s="41">
        <v>152.4</v>
      </c>
      <c r="H56" s="51">
        <v>7.39888194672805</v>
      </c>
      <c r="I56" s="17">
        <f t="shared" si="2"/>
        <v>35.641025641025642</v>
      </c>
      <c r="J56" s="17">
        <f t="shared" si="3"/>
        <v>89.166666666666671</v>
      </c>
    </row>
    <row r="57" spans="1:10" ht="16.5" x14ac:dyDescent="0.25">
      <c r="A57" s="47">
        <v>10165</v>
      </c>
      <c r="B57" s="50" t="s">
        <v>108</v>
      </c>
      <c r="C57" s="49">
        <v>46148</v>
      </c>
      <c r="D57" s="48">
        <v>295</v>
      </c>
      <c r="E57" s="41">
        <v>780</v>
      </c>
      <c r="H57" s="51">
        <v>7.39888194672805</v>
      </c>
    </row>
    <row r="58" spans="1:10" ht="16.5" x14ac:dyDescent="0.25">
      <c r="A58" s="45">
        <v>10166</v>
      </c>
      <c r="B58" s="49" t="s">
        <v>108</v>
      </c>
      <c r="C58" s="49">
        <v>46148</v>
      </c>
      <c r="D58" s="46">
        <v>256</v>
      </c>
      <c r="E58" s="41">
        <v>780</v>
      </c>
      <c r="H58" s="51">
        <v>7.39888194672805</v>
      </c>
    </row>
    <row r="59" spans="1:10" ht="16.5" x14ac:dyDescent="0.25">
      <c r="A59" s="47">
        <v>10167</v>
      </c>
      <c r="B59" s="50" t="s">
        <v>108</v>
      </c>
      <c r="C59" s="49">
        <v>46148</v>
      </c>
      <c r="D59" s="48">
        <v>302</v>
      </c>
      <c r="E59" s="41">
        <v>780</v>
      </c>
      <c r="H59" s="51">
        <v>7.39888194672805</v>
      </c>
    </row>
    <row r="60" spans="1:10" ht="16.5" x14ac:dyDescent="0.25">
      <c r="A60" s="45">
        <v>10168</v>
      </c>
      <c r="B60" s="49" t="s">
        <v>108</v>
      </c>
      <c r="C60" s="49">
        <v>46148</v>
      </c>
      <c r="D60" s="46">
        <v>298</v>
      </c>
      <c r="E60" s="41">
        <v>780</v>
      </c>
      <c r="H60" s="51">
        <v>7.39888194672805</v>
      </c>
    </row>
    <row r="61" spans="1:10" ht="16.5" x14ac:dyDescent="0.25">
      <c r="A61" s="47">
        <v>10170</v>
      </c>
      <c r="B61" s="50" t="s">
        <v>109</v>
      </c>
      <c r="C61" s="49">
        <v>46148</v>
      </c>
      <c r="D61" s="48">
        <v>257</v>
      </c>
      <c r="E61" s="41">
        <v>780</v>
      </c>
      <c r="H61" s="51">
        <v>7.3331141072015784</v>
      </c>
    </row>
    <row r="62" spans="1:10" ht="16.5" x14ac:dyDescent="0.25">
      <c r="A62" s="45">
        <v>10171</v>
      </c>
      <c r="B62" s="49" t="s">
        <v>109</v>
      </c>
      <c r="C62" s="49">
        <v>46148</v>
      </c>
      <c r="D62" s="46">
        <v>281</v>
      </c>
      <c r="E62" s="41">
        <v>780</v>
      </c>
      <c r="H62" s="51">
        <v>7.3331141072015784</v>
      </c>
    </row>
    <row r="63" spans="1:10" ht="16.5" x14ac:dyDescent="0.25">
      <c r="A63" s="47">
        <v>10172</v>
      </c>
      <c r="B63" s="50" t="s">
        <v>110</v>
      </c>
      <c r="C63" s="49">
        <v>46148</v>
      </c>
      <c r="D63" s="48">
        <v>240</v>
      </c>
      <c r="E63" s="41">
        <v>780</v>
      </c>
      <c r="H63" s="51">
        <v>7.2673462676751068</v>
      </c>
    </row>
    <row r="64" spans="1:10" ht="16.5" x14ac:dyDescent="0.25">
      <c r="A64" s="45">
        <v>10173</v>
      </c>
      <c r="B64" s="49" t="s">
        <v>111</v>
      </c>
      <c r="C64" s="49">
        <v>46148</v>
      </c>
      <c r="D64" s="46">
        <v>300</v>
      </c>
      <c r="E64" s="41">
        <v>780</v>
      </c>
      <c r="H64" s="51">
        <v>7.2344623479118715</v>
      </c>
    </row>
    <row r="65" spans="1:8" ht="16.5" x14ac:dyDescent="0.25">
      <c r="A65" s="47">
        <v>10236</v>
      </c>
      <c r="B65" s="50" t="s">
        <v>112</v>
      </c>
      <c r="C65" s="49">
        <v>46148</v>
      </c>
      <c r="D65" s="48">
        <v>242</v>
      </c>
      <c r="E65" s="41">
        <v>780</v>
      </c>
      <c r="H65" s="51">
        <v>6.4452482735942125</v>
      </c>
    </row>
    <row r="66" spans="1:8" ht="16.5" x14ac:dyDescent="0.25">
      <c r="A66" s="45">
        <v>94789</v>
      </c>
      <c r="B66" s="49" t="s">
        <v>113</v>
      </c>
      <c r="C66" s="49">
        <v>46148</v>
      </c>
      <c r="D66" s="46">
        <v>341</v>
      </c>
      <c r="E66" s="41">
        <v>780</v>
      </c>
      <c r="H66" s="51">
        <v>13.383755343636961</v>
      </c>
    </row>
    <row r="67" spans="1:8" ht="16.5" x14ac:dyDescent="0.25">
      <c r="A67" s="47">
        <v>94794</v>
      </c>
      <c r="B67" s="50" t="s">
        <v>114</v>
      </c>
      <c r="C67" s="49">
        <v>46148</v>
      </c>
      <c r="D67" s="48">
        <v>427</v>
      </c>
      <c r="E67" s="41">
        <v>780</v>
      </c>
      <c r="H67" s="51">
        <v>13.317987504110491</v>
      </c>
    </row>
    <row r="68" spans="1:8" ht="16.5" x14ac:dyDescent="0.25">
      <c r="A68" s="45">
        <v>94795</v>
      </c>
      <c r="B68" s="49" t="s">
        <v>114</v>
      </c>
      <c r="C68" s="49">
        <v>46148</v>
      </c>
      <c r="D68" s="46">
        <v>380</v>
      </c>
      <c r="E68" s="41">
        <v>780</v>
      </c>
      <c r="H68" s="51">
        <v>13.317987504110491</v>
      </c>
    </row>
    <row r="69" spans="1:8" ht="16.5" x14ac:dyDescent="0.25">
      <c r="A69" s="47">
        <v>94796</v>
      </c>
      <c r="B69" s="50" t="s">
        <v>115</v>
      </c>
      <c r="C69" s="49">
        <v>46148</v>
      </c>
      <c r="D69" s="48">
        <v>393</v>
      </c>
      <c r="E69" s="41">
        <v>780</v>
      </c>
      <c r="H69" s="51">
        <v>13.285103584347254</v>
      </c>
    </row>
    <row r="70" spans="1:8" ht="16.5" x14ac:dyDescent="0.25">
      <c r="A70" s="45">
        <v>94797</v>
      </c>
      <c r="B70" s="49" t="s">
        <v>115</v>
      </c>
      <c r="C70" s="49">
        <v>46148</v>
      </c>
      <c r="D70" s="46">
        <v>406</v>
      </c>
      <c r="E70" s="41">
        <v>780</v>
      </c>
      <c r="H70" s="51">
        <v>13.285103584347254</v>
      </c>
    </row>
    <row r="71" spans="1:8" ht="16.5" x14ac:dyDescent="0.25">
      <c r="A71" s="47">
        <v>94828</v>
      </c>
      <c r="B71" s="50" t="s">
        <v>116</v>
      </c>
      <c r="C71" s="49">
        <v>46148</v>
      </c>
      <c r="D71" s="48">
        <v>403</v>
      </c>
      <c r="E71" s="41">
        <v>780</v>
      </c>
      <c r="H71" s="51">
        <v>12.627425189082539</v>
      </c>
    </row>
    <row r="72" spans="1:8" ht="16.5" x14ac:dyDescent="0.25">
      <c r="A72" s="45">
        <v>94833</v>
      </c>
      <c r="B72" s="49" t="s">
        <v>117</v>
      </c>
      <c r="C72" s="49">
        <v>46148</v>
      </c>
      <c r="D72" s="46">
        <v>428</v>
      </c>
      <c r="E72" s="41">
        <v>780</v>
      </c>
      <c r="H72" s="51">
        <v>12.495889510029595</v>
      </c>
    </row>
    <row r="73" spans="1:8" ht="16.5" x14ac:dyDescent="0.25">
      <c r="A73" s="47">
        <v>94834</v>
      </c>
      <c r="B73" s="50" t="s">
        <v>118</v>
      </c>
      <c r="C73" s="49">
        <v>46148</v>
      </c>
      <c r="D73" s="48">
        <v>411</v>
      </c>
      <c r="E73" s="41">
        <v>780</v>
      </c>
      <c r="H73" s="51">
        <v>12.463005590266359</v>
      </c>
    </row>
    <row r="74" spans="1:8" ht="16.5" x14ac:dyDescent="0.25">
      <c r="A74" s="45">
        <v>94835</v>
      </c>
      <c r="B74" s="49" t="s">
        <v>119</v>
      </c>
      <c r="C74" s="49">
        <v>46148</v>
      </c>
      <c r="D74" s="46">
        <v>395</v>
      </c>
      <c r="E74" s="41">
        <v>780</v>
      </c>
      <c r="H74" s="51">
        <v>12.430121670503125</v>
      </c>
    </row>
    <row r="75" spans="1:8" ht="16.5" x14ac:dyDescent="0.25">
      <c r="A75" s="47">
        <v>94836</v>
      </c>
      <c r="B75" s="50" t="s">
        <v>119</v>
      </c>
      <c r="C75" s="49">
        <v>46148</v>
      </c>
      <c r="D75" s="48">
        <v>446</v>
      </c>
      <c r="E75" s="41">
        <v>780</v>
      </c>
      <c r="H75" s="51">
        <v>12.430121670503125</v>
      </c>
    </row>
    <row r="76" spans="1:8" ht="16.5" x14ac:dyDescent="0.25">
      <c r="A76" s="45">
        <v>94837</v>
      </c>
      <c r="B76" s="49" t="s">
        <v>120</v>
      </c>
      <c r="C76" s="49">
        <v>46148</v>
      </c>
      <c r="D76" s="46">
        <v>419</v>
      </c>
      <c r="E76" s="41">
        <v>780</v>
      </c>
      <c r="H76" s="51">
        <v>12.397237750739889</v>
      </c>
    </row>
    <row r="77" spans="1:8" ht="16.5" x14ac:dyDescent="0.25">
      <c r="A77" s="47">
        <v>94838</v>
      </c>
      <c r="B77" s="50" t="s">
        <v>120</v>
      </c>
      <c r="C77" s="49">
        <v>46148</v>
      </c>
      <c r="D77" s="48">
        <v>385</v>
      </c>
      <c r="E77" s="41">
        <v>780</v>
      </c>
      <c r="H77" s="51">
        <v>12.397237750739889</v>
      </c>
    </row>
    <row r="78" spans="1:8" ht="16.5" x14ac:dyDescent="0.25">
      <c r="A78" s="45">
        <v>94839</v>
      </c>
      <c r="B78" s="49" t="s">
        <v>121</v>
      </c>
      <c r="C78" s="49">
        <v>46148</v>
      </c>
      <c r="D78" s="46">
        <v>402</v>
      </c>
      <c r="E78" s="41">
        <v>780</v>
      </c>
      <c r="H78" s="51">
        <v>12.364353830976652</v>
      </c>
    </row>
    <row r="79" spans="1:8" ht="16.5" x14ac:dyDescent="0.25">
      <c r="A79" s="47">
        <v>94840</v>
      </c>
      <c r="B79" s="50" t="s">
        <v>121</v>
      </c>
      <c r="C79" s="49">
        <v>46148</v>
      </c>
      <c r="D79" s="48">
        <v>369</v>
      </c>
      <c r="E79" s="41">
        <v>780</v>
      </c>
      <c r="H79" s="51">
        <v>12.364353830976652</v>
      </c>
    </row>
    <row r="80" spans="1:8" ht="16.5" x14ac:dyDescent="0.25">
      <c r="A80" s="45">
        <v>94841</v>
      </c>
      <c r="B80" s="49" t="s">
        <v>122</v>
      </c>
      <c r="C80" s="49">
        <v>46148</v>
      </c>
      <c r="D80" s="46">
        <v>380</v>
      </c>
      <c r="E80" s="41">
        <v>780</v>
      </c>
      <c r="H80" s="51">
        <v>12.331469911213416</v>
      </c>
    </row>
    <row r="81" spans="1:8" ht="16.5" x14ac:dyDescent="0.25">
      <c r="A81" s="47">
        <v>94842</v>
      </c>
      <c r="B81" s="50" t="s">
        <v>122</v>
      </c>
      <c r="C81" s="49">
        <v>46148</v>
      </c>
      <c r="D81" s="48">
        <v>349</v>
      </c>
      <c r="E81" s="41">
        <v>780</v>
      </c>
      <c r="H81" s="51">
        <v>12.331469911213416</v>
      </c>
    </row>
    <row r="82" spans="1:8" ht="16.5" x14ac:dyDescent="0.25">
      <c r="A82" s="45">
        <v>94843</v>
      </c>
      <c r="B82" s="49" t="s">
        <v>123</v>
      </c>
      <c r="C82" s="49">
        <v>46148</v>
      </c>
      <c r="D82" s="46">
        <v>370</v>
      </c>
      <c r="E82" s="41">
        <v>780</v>
      </c>
      <c r="H82" s="51">
        <v>12.298585991450182</v>
      </c>
    </row>
    <row r="83" spans="1:8" ht="16.5" x14ac:dyDescent="0.25">
      <c r="A83" s="47">
        <v>94844</v>
      </c>
      <c r="B83" s="50" t="s">
        <v>123</v>
      </c>
      <c r="C83" s="49">
        <v>46148</v>
      </c>
      <c r="D83" s="48">
        <v>330</v>
      </c>
      <c r="E83" s="41">
        <v>780</v>
      </c>
      <c r="H83" s="51">
        <v>12.298585991450182</v>
      </c>
    </row>
    <row r="84" spans="1:8" ht="16.5" x14ac:dyDescent="0.25">
      <c r="A84" s="45">
        <v>94845</v>
      </c>
      <c r="B84" s="49" t="s">
        <v>123</v>
      </c>
      <c r="C84" s="49">
        <v>46148</v>
      </c>
      <c r="D84" s="46">
        <v>327</v>
      </c>
      <c r="E84" s="41">
        <v>780</v>
      </c>
      <c r="H84" s="51">
        <v>12.298585991450182</v>
      </c>
    </row>
    <row r="85" spans="1:8" ht="16.5" x14ac:dyDescent="0.25">
      <c r="A85" s="47">
        <v>94846</v>
      </c>
      <c r="B85" s="50" t="s">
        <v>123</v>
      </c>
      <c r="C85" s="49">
        <v>46148</v>
      </c>
      <c r="D85" s="48">
        <v>377</v>
      </c>
      <c r="E85" s="41">
        <v>780</v>
      </c>
      <c r="H85" s="51">
        <v>12.298585991450182</v>
      </c>
    </row>
    <row r="86" spans="1:8" ht="16.5" x14ac:dyDescent="0.25">
      <c r="A86" s="45">
        <v>94847</v>
      </c>
      <c r="B86" s="49" t="s">
        <v>124</v>
      </c>
      <c r="C86" s="49">
        <v>46148</v>
      </c>
      <c r="D86" s="46">
        <v>336</v>
      </c>
      <c r="E86" s="41">
        <v>780</v>
      </c>
      <c r="H86" s="51">
        <v>12.265702071686945</v>
      </c>
    </row>
    <row r="87" spans="1:8" ht="16.5" x14ac:dyDescent="0.25">
      <c r="A87" s="47">
        <v>94848</v>
      </c>
      <c r="B87" s="50" t="s">
        <v>124</v>
      </c>
      <c r="C87" s="49">
        <v>46148</v>
      </c>
      <c r="D87" s="48">
        <v>332</v>
      </c>
      <c r="E87" s="41">
        <v>780</v>
      </c>
      <c r="H87" s="51">
        <v>12.265702071686945</v>
      </c>
    </row>
    <row r="88" spans="1:8" ht="16.5" x14ac:dyDescent="0.25">
      <c r="A88" s="45">
        <v>94849</v>
      </c>
      <c r="B88" s="49" t="s">
        <v>124</v>
      </c>
      <c r="C88" s="49">
        <v>46148</v>
      </c>
      <c r="D88" s="46">
        <v>383</v>
      </c>
      <c r="E88" s="41">
        <v>780</v>
      </c>
      <c r="H88" s="51">
        <v>12.265702071686945</v>
      </c>
    </row>
    <row r="89" spans="1:8" ht="16.5" x14ac:dyDescent="0.25">
      <c r="A89" s="47">
        <v>94850</v>
      </c>
      <c r="B89" s="50" t="s">
        <v>125</v>
      </c>
      <c r="C89" s="49">
        <v>46148</v>
      </c>
      <c r="D89" s="48">
        <v>328</v>
      </c>
      <c r="E89" s="41">
        <v>780</v>
      </c>
      <c r="H89" s="51">
        <v>12.232818151923709</v>
      </c>
    </row>
    <row r="90" spans="1:8" ht="16.5" x14ac:dyDescent="0.25">
      <c r="A90" s="45">
        <v>94851</v>
      </c>
      <c r="B90" s="49" t="s">
        <v>125</v>
      </c>
      <c r="C90" s="49">
        <v>46148</v>
      </c>
      <c r="D90" s="46">
        <v>349</v>
      </c>
      <c r="E90" s="41">
        <v>780</v>
      </c>
      <c r="H90" s="51">
        <v>12.232818151923709</v>
      </c>
    </row>
    <row r="91" spans="1:8" ht="16.5" x14ac:dyDescent="0.25">
      <c r="A91" s="47">
        <v>94853</v>
      </c>
      <c r="B91" s="50" t="s">
        <v>126</v>
      </c>
      <c r="C91" s="49">
        <v>46148</v>
      </c>
      <c r="D91" s="48">
        <v>371</v>
      </c>
      <c r="E91" s="41">
        <v>780</v>
      </c>
      <c r="H91" s="51">
        <v>12.167050312397238</v>
      </c>
    </row>
    <row r="92" spans="1:8" ht="16.5" x14ac:dyDescent="0.25">
      <c r="A92" s="45">
        <v>94854</v>
      </c>
      <c r="B92" s="49" t="s">
        <v>126</v>
      </c>
      <c r="C92" s="49">
        <v>46148</v>
      </c>
      <c r="D92" s="46">
        <v>405</v>
      </c>
      <c r="E92" s="41">
        <v>780</v>
      </c>
      <c r="H92" s="51">
        <v>12.167050312397238</v>
      </c>
    </row>
    <row r="93" spans="1:8" ht="16.5" x14ac:dyDescent="0.25">
      <c r="A93" s="47">
        <v>94855</v>
      </c>
      <c r="B93" s="50" t="s">
        <v>126</v>
      </c>
      <c r="C93" s="49">
        <v>46148</v>
      </c>
      <c r="D93" s="48">
        <v>357</v>
      </c>
      <c r="E93" s="41">
        <v>780</v>
      </c>
      <c r="H93" s="51">
        <v>12.167050312397238</v>
      </c>
    </row>
    <row r="94" spans="1:8" ht="16.5" x14ac:dyDescent="0.25">
      <c r="A94" s="45">
        <v>94856</v>
      </c>
      <c r="B94" s="49" t="s">
        <v>126</v>
      </c>
      <c r="C94" s="49">
        <v>46148</v>
      </c>
      <c r="D94" s="46">
        <v>369</v>
      </c>
      <c r="E94" s="41">
        <v>780</v>
      </c>
      <c r="H94" s="51">
        <v>12.167050312397238</v>
      </c>
    </row>
    <row r="95" spans="1:8" ht="16.5" x14ac:dyDescent="0.25">
      <c r="A95" s="47">
        <v>94857</v>
      </c>
      <c r="B95" s="50" t="s">
        <v>127</v>
      </c>
      <c r="C95" s="49">
        <v>46148</v>
      </c>
      <c r="D95" s="48">
        <v>375</v>
      </c>
      <c r="E95" s="41">
        <v>780</v>
      </c>
      <c r="H95" s="51">
        <v>12.134166392634002</v>
      </c>
    </row>
    <row r="96" spans="1:8" ht="16.5" x14ac:dyDescent="0.25">
      <c r="A96" s="45">
        <v>94858</v>
      </c>
      <c r="B96" s="49" t="s">
        <v>127</v>
      </c>
      <c r="C96" s="49">
        <v>46148</v>
      </c>
      <c r="D96" s="46">
        <v>331</v>
      </c>
      <c r="E96" s="41">
        <v>780</v>
      </c>
      <c r="H96" s="51">
        <v>12.134166392634002</v>
      </c>
    </row>
    <row r="97" spans="1:8" ht="16.5" x14ac:dyDescent="0.25">
      <c r="A97" s="47">
        <v>94859</v>
      </c>
      <c r="B97" s="50" t="s">
        <v>127</v>
      </c>
      <c r="C97" s="49">
        <v>46148</v>
      </c>
      <c r="D97" s="48">
        <v>374</v>
      </c>
      <c r="E97" s="41">
        <v>780</v>
      </c>
      <c r="H97" s="51">
        <v>12.134166392634002</v>
      </c>
    </row>
    <row r="98" spans="1:8" ht="16.5" x14ac:dyDescent="0.25">
      <c r="A98" s="45">
        <v>94860</v>
      </c>
      <c r="B98" s="49" t="s">
        <v>128</v>
      </c>
      <c r="C98" s="49">
        <v>46148</v>
      </c>
      <c r="D98" s="46">
        <v>339</v>
      </c>
      <c r="E98" s="41">
        <v>780</v>
      </c>
      <c r="H98" s="51">
        <v>12.101282472870766</v>
      </c>
    </row>
    <row r="99" spans="1:8" ht="16.5" x14ac:dyDescent="0.25">
      <c r="A99" s="47">
        <v>94861</v>
      </c>
      <c r="B99" s="50" t="s">
        <v>129</v>
      </c>
      <c r="C99" s="49">
        <v>46148</v>
      </c>
      <c r="D99" s="48">
        <v>317</v>
      </c>
      <c r="E99" s="41">
        <v>780</v>
      </c>
      <c r="H99" s="51">
        <v>12.06839855310753</v>
      </c>
    </row>
    <row r="100" spans="1:8" ht="16.5" x14ac:dyDescent="0.25">
      <c r="A100" s="45">
        <v>94862</v>
      </c>
      <c r="B100" s="49" t="s">
        <v>129</v>
      </c>
      <c r="C100" s="49">
        <v>46148</v>
      </c>
      <c r="D100" s="46">
        <v>378</v>
      </c>
      <c r="E100" s="41">
        <v>780</v>
      </c>
      <c r="H100" s="51">
        <v>12.06839855310753</v>
      </c>
    </row>
    <row r="101" spans="1:8" ht="16.5" x14ac:dyDescent="0.25">
      <c r="A101" s="47">
        <v>94863</v>
      </c>
      <c r="B101" s="50" t="s">
        <v>129</v>
      </c>
      <c r="C101" s="49">
        <v>46148</v>
      </c>
      <c r="D101" s="48">
        <v>364</v>
      </c>
      <c r="E101" s="41">
        <v>780</v>
      </c>
      <c r="H101" s="51">
        <v>12.06839855310753</v>
      </c>
    </row>
    <row r="102" spans="1:8" ht="16.5" x14ac:dyDescent="0.25">
      <c r="A102" s="45">
        <v>94864</v>
      </c>
      <c r="B102" s="49" t="s">
        <v>129</v>
      </c>
      <c r="C102" s="49">
        <v>46148</v>
      </c>
      <c r="D102" s="46">
        <v>373</v>
      </c>
      <c r="E102" s="41">
        <v>780</v>
      </c>
      <c r="H102" s="51">
        <v>12.06839855310753</v>
      </c>
    </row>
    <row r="103" spans="1:8" ht="16.5" x14ac:dyDescent="0.25">
      <c r="A103" s="47">
        <v>94865</v>
      </c>
      <c r="B103" s="50" t="s">
        <v>129</v>
      </c>
      <c r="C103" s="49">
        <v>46148</v>
      </c>
      <c r="D103" s="48">
        <v>387</v>
      </c>
      <c r="E103" s="41">
        <v>780</v>
      </c>
      <c r="H103" s="51">
        <v>12.06839855310753</v>
      </c>
    </row>
    <row r="104" spans="1:8" ht="16.5" x14ac:dyDescent="0.25">
      <c r="A104" s="45">
        <v>94866</v>
      </c>
      <c r="B104" s="49" t="s">
        <v>130</v>
      </c>
      <c r="C104" s="49">
        <v>46148</v>
      </c>
      <c r="D104" s="46">
        <v>350</v>
      </c>
      <c r="E104" s="41">
        <v>780</v>
      </c>
      <c r="H104" s="51">
        <v>12.002630713581059</v>
      </c>
    </row>
    <row r="105" spans="1:8" ht="16.5" x14ac:dyDescent="0.25">
      <c r="A105" s="47">
        <v>94867</v>
      </c>
      <c r="B105" s="50" t="s">
        <v>131</v>
      </c>
      <c r="C105" s="49">
        <v>46148</v>
      </c>
      <c r="D105" s="48">
        <v>380</v>
      </c>
      <c r="E105" s="41">
        <v>780</v>
      </c>
      <c r="H105" s="51">
        <v>11.969746793817823</v>
      </c>
    </row>
    <row r="106" spans="1:8" ht="16.5" x14ac:dyDescent="0.25">
      <c r="A106" s="45">
        <v>94869</v>
      </c>
      <c r="B106" s="49" t="s">
        <v>132</v>
      </c>
      <c r="C106" s="49">
        <v>46148</v>
      </c>
      <c r="D106" s="46">
        <v>362</v>
      </c>
      <c r="E106" s="41">
        <v>780</v>
      </c>
      <c r="H106" s="51">
        <v>11.936862874054587</v>
      </c>
    </row>
    <row r="107" spans="1:8" ht="16.5" x14ac:dyDescent="0.25">
      <c r="A107" s="47">
        <v>94870</v>
      </c>
      <c r="B107" s="50" t="s">
        <v>133</v>
      </c>
      <c r="C107" s="49">
        <v>46148</v>
      </c>
      <c r="D107" s="48">
        <v>373</v>
      </c>
      <c r="E107" s="41">
        <v>780</v>
      </c>
      <c r="H107" s="51">
        <v>11.83821111476488</v>
      </c>
    </row>
    <row r="108" spans="1:8" ht="16.5" x14ac:dyDescent="0.25">
      <c r="A108" s="45">
        <v>94871</v>
      </c>
      <c r="B108" s="49" t="s">
        <v>133</v>
      </c>
      <c r="C108" s="49">
        <v>46148</v>
      </c>
      <c r="D108" s="46">
        <v>365</v>
      </c>
      <c r="E108" s="41">
        <v>780</v>
      </c>
      <c r="H108" s="51">
        <v>11.83821111476488</v>
      </c>
    </row>
    <row r="109" spans="1:8" ht="16.5" x14ac:dyDescent="0.25">
      <c r="A109" s="47">
        <v>94872</v>
      </c>
      <c r="B109" s="50" t="s">
        <v>134</v>
      </c>
      <c r="C109" s="49">
        <v>46148</v>
      </c>
      <c r="D109" s="48">
        <v>327</v>
      </c>
      <c r="E109" s="41">
        <v>780</v>
      </c>
      <c r="H109" s="51">
        <v>11.805327195001643</v>
      </c>
    </row>
    <row r="110" spans="1:8" ht="16.5" x14ac:dyDescent="0.25">
      <c r="A110" s="45">
        <v>94873</v>
      </c>
      <c r="B110" s="49" t="s">
        <v>135</v>
      </c>
      <c r="C110" s="49">
        <v>46148</v>
      </c>
      <c r="D110" s="46">
        <v>377</v>
      </c>
      <c r="E110" s="41">
        <v>780</v>
      </c>
      <c r="H110" s="51">
        <v>11.772443275238409</v>
      </c>
    </row>
    <row r="111" spans="1:8" ht="16.5" x14ac:dyDescent="0.25">
      <c r="A111" s="47">
        <v>94874</v>
      </c>
      <c r="B111" s="50" t="s">
        <v>136</v>
      </c>
      <c r="C111" s="49">
        <v>46148</v>
      </c>
      <c r="D111" s="48">
        <v>311</v>
      </c>
      <c r="E111" s="41">
        <v>780</v>
      </c>
      <c r="H111" s="51">
        <v>11.739559355475173</v>
      </c>
    </row>
    <row r="112" spans="1:8" ht="16.5" x14ac:dyDescent="0.25">
      <c r="A112" s="45">
        <v>94875</v>
      </c>
      <c r="B112" s="49" t="s">
        <v>137</v>
      </c>
      <c r="C112" s="49">
        <v>46148</v>
      </c>
      <c r="D112" s="46">
        <v>348</v>
      </c>
      <c r="E112" s="41">
        <v>780</v>
      </c>
      <c r="H112" s="51">
        <v>11.706675435711936</v>
      </c>
    </row>
    <row r="113" spans="1:8" ht="16.5" x14ac:dyDescent="0.25">
      <c r="A113" s="47">
        <v>94876</v>
      </c>
      <c r="B113" s="50" t="s">
        <v>138</v>
      </c>
      <c r="C113" s="49">
        <v>46148</v>
      </c>
      <c r="D113" s="48">
        <v>347</v>
      </c>
      <c r="E113" s="41">
        <v>780</v>
      </c>
      <c r="H113" s="51">
        <v>11.6737915159487</v>
      </c>
    </row>
    <row r="114" spans="1:8" ht="16.5" x14ac:dyDescent="0.25">
      <c r="A114" s="45">
        <v>94877</v>
      </c>
      <c r="B114" s="49" t="s">
        <v>139</v>
      </c>
      <c r="C114" s="49">
        <v>46148</v>
      </c>
      <c r="D114" s="46">
        <v>324</v>
      </c>
      <c r="E114" s="41">
        <v>780</v>
      </c>
      <c r="H114" s="51">
        <v>11.640907596185466</v>
      </c>
    </row>
    <row r="115" spans="1:8" ht="16.5" x14ac:dyDescent="0.25">
      <c r="A115" s="47">
        <v>94878</v>
      </c>
      <c r="B115" s="50" t="s">
        <v>140</v>
      </c>
      <c r="C115" s="49">
        <v>46148</v>
      </c>
      <c r="D115" s="48">
        <v>367</v>
      </c>
      <c r="E115" s="41">
        <v>780</v>
      </c>
      <c r="H115" s="51">
        <v>11.575139756658993</v>
      </c>
    </row>
    <row r="116" spans="1:8" ht="16.5" x14ac:dyDescent="0.25">
      <c r="A116" s="45">
        <v>94881</v>
      </c>
      <c r="B116" s="49" t="s">
        <v>141</v>
      </c>
      <c r="C116" s="49">
        <v>46148</v>
      </c>
      <c r="D116" s="46">
        <v>353</v>
      </c>
      <c r="E116" s="41">
        <v>780</v>
      </c>
      <c r="H116" s="51">
        <v>11.476487997369286</v>
      </c>
    </row>
    <row r="117" spans="1:8" ht="16.5" x14ac:dyDescent="0.25">
      <c r="A117" s="47">
        <v>94882</v>
      </c>
      <c r="B117" s="50" t="s">
        <v>141</v>
      </c>
      <c r="C117" s="49">
        <v>46148</v>
      </c>
      <c r="D117" s="48">
        <v>341</v>
      </c>
      <c r="E117" s="41">
        <v>780</v>
      </c>
      <c r="H117" s="51">
        <v>11.476487997369286</v>
      </c>
    </row>
    <row r="118" spans="1:8" ht="16.5" x14ac:dyDescent="0.25">
      <c r="A118" s="45">
        <v>94883</v>
      </c>
      <c r="B118" s="49" t="s">
        <v>142</v>
      </c>
      <c r="C118" s="49">
        <v>46148</v>
      </c>
      <c r="D118" s="46">
        <v>407</v>
      </c>
      <c r="E118" s="41">
        <v>780</v>
      </c>
      <c r="H118" s="51">
        <v>11.44360407760605</v>
      </c>
    </row>
    <row r="119" spans="1:8" ht="16.5" x14ac:dyDescent="0.25">
      <c r="A119" s="47">
        <v>94884</v>
      </c>
      <c r="B119" s="50" t="s">
        <v>142</v>
      </c>
      <c r="C119" s="49">
        <v>46148</v>
      </c>
      <c r="D119" s="48">
        <v>365</v>
      </c>
      <c r="E119" s="41">
        <v>780</v>
      </c>
      <c r="H119" s="51">
        <v>11.44360407760605</v>
      </c>
    </row>
    <row r="120" spans="1:8" ht="16.5" x14ac:dyDescent="0.25">
      <c r="A120" s="45">
        <v>94885</v>
      </c>
      <c r="B120" s="49" t="s">
        <v>142</v>
      </c>
      <c r="C120" s="49">
        <v>46148</v>
      </c>
      <c r="D120" s="46">
        <v>285</v>
      </c>
      <c r="E120" s="41">
        <v>780</v>
      </c>
      <c r="H120" s="51">
        <v>11.44360407760605</v>
      </c>
    </row>
    <row r="121" spans="1:8" ht="16.5" x14ac:dyDescent="0.25">
      <c r="A121" s="47">
        <v>94886</v>
      </c>
      <c r="B121" s="50" t="s">
        <v>143</v>
      </c>
      <c r="C121" s="49">
        <v>46148</v>
      </c>
      <c r="D121" s="48">
        <v>319</v>
      </c>
      <c r="E121" s="41">
        <v>780</v>
      </c>
      <c r="H121" s="51">
        <v>11.410720157842816</v>
      </c>
    </row>
    <row r="122" spans="1:8" ht="16.5" x14ac:dyDescent="0.25">
      <c r="A122" s="45">
        <v>94887</v>
      </c>
      <c r="B122" s="49" t="s">
        <v>144</v>
      </c>
      <c r="C122" s="49">
        <v>46148</v>
      </c>
      <c r="D122" s="46">
        <v>315</v>
      </c>
      <c r="E122" s="41">
        <v>780</v>
      </c>
      <c r="H122" s="51">
        <v>11.377836238079579</v>
      </c>
    </row>
    <row r="123" spans="1:8" ht="16.5" x14ac:dyDescent="0.25">
      <c r="A123" s="47">
        <v>94888</v>
      </c>
      <c r="B123" s="50" t="s">
        <v>145</v>
      </c>
      <c r="C123" s="49">
        <v>46148</v>
      </c>
      <c r="D123" s="48">
        <v>335</v>
      </c>
      <c r="E123" s="41">
        <v>780</v>
      </c>
      <c r="H123" s="51">
        <v>11.344952318316343</v>
      </c>
    </row>
    <row r="124" spans="1:8" ht="16.5" x14ac:dyDescent="0.25">
      <c r="A124" s="45">
        <v>94889</v>
      </c>
      <c r="B124" s="49" t="s">
        <v>145</v>
      </c>
      <c r="C124" s="49">
        <v>46148</v>
      </c>
      <c r="D124" s="46">
        <v>390</v>
      </c>
      <c r="E124" s="41">
        <v>780</v>
      </c>
      <c r="H124" s="51">
        <v>11.344952318316343</v>
      </c>
    </row>
    <row r="125" spans="1:8" ht="16.5" x14ac:dyDescent="0.25">
      <c r="A125" s="47">
        <v>94890</v>
      </c>
      <c r="B125" s="50" t="s">
        <v>146</v>
      </c>
      <c r="C125" s="49">
        <v>46148</v>
      </c>
      <c r="D125" s="48">
        <v>345</v>
      </c>
      <c r="E125" s="41">
        <v>780</v>
      </c>
      <c r="H125" s="51">
        <v>11.312068398553107</v>
      </c>
    </row>
    <row r="126" spans="1:8" ht="16.5" x14ac:dyDescent="0.25">
      <c r="A126" s="45">
        <v>94891</v>
      </c>
      <c r="B126" s="49" t="s">
        <v>146</v>
      </c>
      <c r="C126" s="49">
        <v>46148</v>
      </c>
      <c r="D126" s="46">
        <v>399</v>
      </c>
      <c r="E126" s="41">
        <v>780</v>
      </c>
      <c r="H126" s="51">
        <v>11.312068398553107</v>
      </c>
    </row>
    <row r="127" spans="1:8" ht="16.5" x14ac:dyDescent="0.25">
      <c r="A127" s="47">
        <v>94892</v>
      </c>
      <c r="B127" s="50" t="s">
        <v>146</v>
      </c>
      <c r="C127" s="49">
        <v>46148</v>
      </c>
      <c r="D127" s="48">
        <v>333</v>
      </c>
      <c r="E127" s="41">
        <v>780</v>
      </c>
      <c r="H127" s="51">
        <v>11.312068398553107</v>
      </c>
    </row>
    <row r="128" spans="1:8" ht="16.5" x14ac:dyDescent="0.25">
      <c r="A128" s="45">
        <v>94893</v>
      </c>
      <c r="B128" s="49" t="s">
        <v>146</v>
      </c>
      <c r="C128" s="49">
        <v>46148</v>
      </c>
      <c r="D128" s="46">
        <v>313</v>
      </c>
      <c r="E128" s="41">
        <v>780</v>
      </c>
      <c r="H128" s="51">
        <v>11.312068398553107</v>
      </c>
    </row>
    <row r="129" spans="1:8" ht="16.5" x14ac:dyDescent="0.25">
      <c r="A129" s="47">
        <v>94894</v>
      </c>
      <c r="B129" s="50" t="s">
        <v>147</v>
      </c>
      <c r="C129" s="49">
        <v>46148</v>
      </c>
      <c r="D129" s="48">
        <v>398</v>
      </c>
      <c r="E129" s="41">
        <v>780</v>
      </c>
      <c r="H129" s="51">
        <v>11.279184478789873</v>
      </c>
    </row>
    <row r="130" spans="1:8" ht="16.5" x14ac:dyDescent="0.25">
      <c r="A130" s="45">
        <v>94895</v>
      </c>
      <c r="B130" s="49" t="s">
        <v>147</v>
      </c>
      <c r="C130" s="49">
        <v>46148</v>
      </c>
      <c r="D130" s="46">
        <v>326</v>
      </c>
      <c r="E130" s="41">
        <v>780</v>
      </c>
      <c r="H130" s="51">
        <v>11.279184478789873</v>
      </c>
    </row>
    <row r="131" spans="1:8" ht="16.5" x14ac:dyDescent="0.25">
      <c r="A131" s="47">
        <v>94896</v>
      </c>
      <c r="B131" s="50" t="s">
        <v>147</v>
      </c>
      <c r="C131" s="49">
        <v>46148</v>
      </c>
      <c r="D131" s="48">
        <v>329</v>
      </c>
      <c r="E131" s="41">
        <v>780</v>
      </c>
      <c r="H131" s="51">
        <v>11.279184478789873</v>
      </c>
    </row>
    <row r="132" spans="1:8" ht="16.5" x14ac:dyDescent="0.25">
      <c r="A132" s="45">
        <v>94897</v>
      </c>
      <c r="B132" s="49" t="s">
        <v>148</v>
      </c>
      <c r="C132" s="49">
        <v>46148</v>
      </c>
      <c r="D132" s="46">
        <v>337</v>
      </c>
      <c r="E132" s="41">
        <v>780</v>
      </c>
      <c r="H132" s="51">
        <v>11.246300559026636</v>
      </c>
    </row>
    <row r="133" spans="1:8" ht="16.5" x14ac:dyDescent="0.25">
      <c r="A133" s="47">
        <v>94898</v>
      </c>
      <c r="B133" s="50" t="s">
        <v>149</v>
      </c>
      <c r="C133" s="49">
        <v>46148</v>
      </c>
      <c r="D133" s="48">
        <v>323</v>
      </c>
      <c r="E133" s="41">
        <v>780</v>
      </c>
      <c r="H133" s="51">
        <v>11.2134166392634</v>
      </c>
    </row>
    <row r="134" spans="1:8" ht="16.5" x14ac:dyDescent="0.25">
      <c r="A134" s="45">
        <v>94899</v>
      </c>
      <c r="B134" s="49" t="s">
        <v>150</v>
      </c>
      <c r="C134" s="49">
        <v>46148</v>
      </c>
      <c r="D134" s="46">
        <v>360</v>
      </c>
      <c r="E134" s="41">
        <v>780</v>
      </c>
      <c r="H134" s="51">
        <v>11.180532719500164</v>
      </c>
    </row>
    <row r="135" spans="1:8" ht="16.5" x14ac:dyDescent="0.25">
      <c r="A135" s="47">
        <v>94900</v>
      </c>
      <c r="B135" s="50" t="s">
        <v>151</v>
      </c>
      <c r="C135" s="49">
        <v>46148</v>
      </c>
      <c r="D135" s="48">
        <v>311</v>
      </c>
      <c r="E135" s="41">
        <v>780</v>
      </c>
      <c r="H135" s="51">
        <v>11.147648799736929</v>
      </c>
    </row>
    <row r="136" spans="1:8" ht="16.5" x14ac:dyDescent="0.25">
      <c r="A136" s="45">
        <v>94901</v>
      </c>
      <c r="B136" s="49" t="s">
        <v>151</v>
      </c>
      <c r="C136" s="49">
        <v>46148</v>
      </c>
      <c r="D136" s="46">
        <v>312</v>
      </c>
      <c r="E136" s="41">
        <v>780</v>
      </c>
      <c r="H136" s="51">
        <v>11.147648799736929</v>
      </c>
    </row>
    <row r="137" spans="1:8" ht="16.5" x14ac:dyDescent="0.25">
      <c r="A137" s="47">
        <v>94902</v>
      </c>
      <c r="B137" s="50" t="s">
        <v>152</v>
      </c>
      <c r="C137" s="49">
        <v>46148</v>
      </c>
      <c r="D137" s="48">
        <v>339</v>
      </c>
      <c r="E137" s="41">
        <v>780</v>
      </c>
      <c r="H137" s="51">
        <v>11.114764879973693</v>
      </c>
    </row>
    <row r="138" spans="1:8" ht="16.5" x14ac:dyDescent="0.25">
      <c r="A138" s="45">
        <v>94903</v>
      </c>
      <c r="B138" s="49" t="s">
        <v>152</v>
      </c>
      <c r="C138" s="49">
        <v>46148</v>
      </c>
      <c r="D138" s="46">
        <v>367</v>
      </c>
      <c r="E138" s="41">
        <v>780</v>
      </c>
      <c r="H138" s="51">
        <v>11.114764879973693</v>
      </c>
    </row>
    <row r="139" spans="1:8" ht="16.5" x14ac:dyDescent="0.25">
      <c r="A139" s="47">
        <v>94904</v>
      </c>
      <c r="B139" s="50" t="s">
        <v>153</v>
      </c>
      <c r="C139" s="49">
        <v>46148</v>
      </c>
      <c r="D139" s="48">
        <v>342</v>
      </c>
      <c r="E139" s="41">
        <v>780</v>
      </c>
      <c r="H139" s="51">
        <v>11.081880960210457</v>
      </c>
    </row>
    <row r="140" spans="1:8" ht="16.5" x14ac:dyDescent="0.25">
      <c r="A140" s="45">
        <v>94905</v>
      </c>
      <c r="B140" s="49" t="s">
        <v>154</v>
      </c>
      <c r="C140" s="49">
        <v>46148</v>
      </c>
      <c r="D140" s="46">
        <v>316</v>
      </c>
      <c r="E140" s="41">
        <v>780</v>
      </c>
      <c r="H140" s="51">
        <v>11.048997040447221</v>
      </c>
    </row>
    <row r="141" spans="1:8" ht="16.5" x14ac:dyDescent="0.25">
      <c r="A141" s="47">
        <v>94906</v>
      </c>
      <c r="B141" s="50" t="s">
        <v>154</v>
      </c>
      <c r="C141" s="49">
        <v>46148</v>
      </c>
      <c r="D141" s="48">
        <v>351</v>
      </c>
      <c r="E141" s="41">
        <v>780</v>
      </c>
      <c r="H141" s="51">
        <v>11.048997040447221</v>
      </c>
    </row>
    <row r="142" spans="1:8" ht="16.5" x14ac:dyDescent="0.25">
      <c r="A142" s="45">
        <v>94907</v>
      </c>
      <c r="B142" s="49" t="s">
        <v>154</v>
      </c>
      <c r="C142" s="49">
        <v>46148</v>
      </c>
      <c r="D142" s="46">
        <v>367</v>
      </c>
      <c r="E142" s="41">
        <v>780</v>
      </c>
      <c r="H142" s="51">
        <v>11.048997040447221</v>
      </c>
    </row>
    <row r="143" spans="1:8" ht="16.5" x14ac:dyDescent="0.25">
      <c r="A143" s="47">
        <v>94908</v>
      </c>
      <c r="B143" s="50" t="s">
        <v>154</v>
      </c>
      <c r="C143" s="49">
        <v>46148</v>
      </c>
      <c r="D143" s="48">
        <v>303</v>
      </c>
      <c r="E143" s="41">
        <v>780</v>
      </c>
      <c r="H143" s="51">
        <v>11.048997040447221</v>
      </c>
    </row>
    <row r="144" spans="1:8" ht="16.5" x14ac:dyDescent="0.25">
      <c r="A144" s="45">
        <v>94909</v>
      </c>
      <c r="B144" s="49" t="s">
        <v>155</v>
      </c>
      <c r="C144" s="49">
        <v>46148</v>
      </c>
      <c r="D144" s="46">
        <v>355</v>
      </c>
      <c r="E144" s="41">
        <v>780</v>
      </c>
      <c r="H144" s="51">
        <v>11.016113120683986</v>
      </c>
    </row>
    <row r="145" spans="1:8" ht="16.5" x14ac:dyDescent="0.25">
      <c r="A145" s="47">
        <v>94910</v>
      </c>
      <c r="B145" s="50" t="s">
        <v>155</v>
      </c>
      <c r="C145" s="49">
        <v>46148</v>
      </c>
      <c r="D145" s="48">
        <v>326</v>
      </c>
      <c r="E145" s="41">
        <v>780</v>
      </c>
      <c r="H145" s="51">
        <v>11.016113120683986</v>
      </c>
    </row>
    <row r="146" spans="1:8" ht="16.5" x14ac:dyDescent="0.25">
      <c r="A146" s="45">
        <v>94911</v>
      </c>
      <c r="B146" s="49" t="s">
        <v>156</v>
      </c>
      <c r="C146" s="49">
        <v>46148</v>
      </c>
      <c r="D146" s="46">
        <v>304</v>
      </c>
      <c r="E146" s="41">
        <v>780</v>
      </c>
      <c r="H146" s="51">
        <v>10.98322920092075</v>
      </c>
    </row>
    <row r="147" spans="1:8" ht="16.5" x14ac:dyDescent="0.25">
      <c r="A147" s="47">
        <v>94912</v>
      </c>
      <c r="B147" s="50" t="s">
        <v>156</v>
      </c>
      <c r="C147" s="49">
        <v>46148</v>
      </c>
      <c r="D147" s="48">
        <v>302</v>
      </c>
      <c r="E147" s="41">
        <v>780</v>
      </c>
      <c r="H147" s="51">
        <v>10.98322920092075</v>
      </c>
    </row>
    <row r="148" spans="1:8" ht="16.5" x14ac:dyDescent="0.25">
      <c r="A148" s="45">
        <v>94913</v>
      </c>
      <c r="B148" s="49" t="s">
        <v>156</v>
      </c>
      <c r="C148" s="49">
        <v>46148</v>
      </c>
      <c r="D148" s="46">
        <v>332</v>
      </c>
      <c r="E148" s="41">
        <v>780</v>
      </c>
      <c r="H148" s="51">
        <v>10.98322920092075</v>
      </c>
    </row>
    <row r="149" spans="1:8" ht="16.5" x14ac:dyDescent="0.25">
      <c r="A149" s="47">
        <v>94914</v>
      </c>
      <c r="B149" s="50" t="s">
        <v>157</v>
      </c>
      <c r="C149" s="49">
        <v>46148</v>
      </c>
      <c r="D149" s="48">
        <v>342</v>
      </c>
      <c r="E149" s="41">
        <v>780</v>
      </c>
      <c r="H149" s="51">
        <v>10.950345281157514</v>
      </c>
    </row>
    <row r="150" spans="1:8" ht="16.5" x14ac:dyDescent="0.25">
      <c r="A150" s="45">
        <v>94916</v>
      </c>
      <c r="B150" s="49" t="s">
        <v>158</v>
      </c>
      <c r="C150" s="49">
        <v>46148</v>
      </c>
      <c r="D150" s="46">
        <v>326</v>
      </c>
      <c r="E150" s="41">
        <v>780</v>
      </c>
      <c r="H150" s="51">
        <v>10.884577441631043</v>
      </c>
    </row>
    <row r="151" spans="1:8" ht="16.5" x14ac:dyDescent="0.25">
      <c r="A151" s="47">
        <v>94917</v>
      </c>
      <c r="B151" s="50" t="s">
        <v>159</v>
      </c>
      <c r="C151" s="49">
        <v>46148</v>
      </c>
      <c r="D151" s="48">
        <v>315</v>
      </c>
      <c r="E151" s="41">
        <v>780</v>
      </c>
      <c r="H151" s="51">
        <v>10.818809602104571</v>
      </c>
    </row>
    <row r="152" spans="1:8" ht="16.5" x14ac:dyDescent="0.25">
      <c r="A152" s="45">
        <v>94918</v>
      </c>
      <c r="B152" s="49" t="s">
        <v>159</v>
      </c>
      <c r="C152" s="49">
        <v>46148</v>
      </c>
      <c r="D152" s="46">
        <v>328</v>
      </c>
      <c r="E152" s="41">
        <v>780</v>
      </c>
      <c r="H152" s="51">
        <v>10.818809602104571</v>
      </c>
    </row>
    <row r="153" spans="1:8" ht="16.5" x14ac:dyDescent="0.25">
      <c r="A153" s="47">
        <v>94919</v>
      </c>
      <c r="B153" s="50" t="s">
        <v>159</v>
      </c>
      <c r="C153" s="49">
        <v>46148</v>
      </c>
      <c r="D153" s="48">
        <v>347</v>
      </c>
      <c r="E153" s="41">
        <v>780</v>
      </c>
      <c r="H153" s="51">
        <v>10.818809602104571</v>
      </c>
    </row>
    <row r="154" spans="1:8" ht="16.5" x14ac:dyDescent="0.25">
      <c r="A154" s="45">
        <v>94920</v>
      </c>
      <c r="B154" s="49" t="s">
        <v>159</v>
      </c>
      <c r="C154" s="49">
        <v>46148</v>
      </c>
      <c r="D154" s="46">
        <v>374</v>
      </c>
      <c r="E154" s="41">
        <v>780</v>
      </c>
      <c r="H154" s="51">
        <v>10.818809602104571</v>
      </c>
    </row>
    <row r="155" spans="1:8" ht="16.5" x14ac:dyDescent="0.25">
      <c r="A155" s="47">
        <v>94921</v>
      </c>
      <c r="B155" s="50" t="s">
        <v>160</v>
      </c>
      <c r="C155" s="49">
        <v>46148</v>
      </c>
      <c r="D155" s="48">
        <v>327</v>
      </c>
      <c r="E155" s="41">
        <v>780</v>
      </c>
      <c r="H155" s="51">
        <v>10.7530417625781</v>
      </c>
    </row>
    <row r="156" spans="1:8" ht="16.5" x14ac:dyDescent="0.25">
      <c r="A156" s="45">
        <v>94922</v>
      </c>
      <c r="B156" s="49" t="s">
        <v>160</v>
      </c>
      <c r="C156" s="49">
        <v>46148</v>
      </c>
      <c r="D156" s="46">
        <v>311</v>
      </c>
      <c r="E156" s="41">
        <v>780</v>
      </c>
      <c r="H156" s="51">
        <v>10.7530417625781</v>
      </c>
    </row>
    <row r="157" spans="1:8" ht="16.5" x14ac:dyDescent="0.25">
      <c r="A157" s="47">
        <v>94923</v>
      </c>
      <c r="B157" s="50" t="s">
        <v>160</v>
      </c>
      <c r="C157" s="49">
        <v>46148</v>
      </c>
      <c r="D157" s="48">
        <v>318</v>
      </c>
      <c r="E157" s="41">
        <v>780</v>
      </c>
      <c r="H157" s="51">
        <v>10.7530417625781</v>
      </c>
    </row>
    <row r="158" spans="1:8" ht="16.5" x14ac:dyDescent="0.25">
      <c r="A158" s="45">
        <v>94925</v>
      </c>
      <c r="B158" s="49" t="s">
        <v>161</v>
      </c>
      <c r="C158" s="49">
        <v>46148</v>
      </c>
      <c r="D158" s="46">
        <v>318</v>
      </c>
      <c r="E158" s="41">
        <v>780</v>
      </c>
      <c r="H158" s="51">
        <v>10.720157842814864</v>
      </c>
    </row>
    <row r="159" spans="1:8" ht="16.5" x14ac:dyDescent="0.25">
      <c r="A159" s="47">
        <v>94926</v>
      </c>
      <c r="B159" s="50" t="s">
        <v>162</v>
      </c>
      <c r="C159" s="49">
        <v>46148</v>
      </c>
      <c r="D159" s="48">
        <v>318</v>
      </c>
      <c r="E159" s="41">
        <v>780</v>
      </c>
      <c r="H159" s="51">
        <v>10.687273923051627</v>
      </c>
    </row>
    <row r="160" spans="1:8" ht="16.5" x14ac:dyDescent="0.25">
      <c r="A160" s="45">
        <v>94927</v>
      </c>
      <c r="B160" s="49" t="s">
        <v>162</v>
      </c>
      <c r="C160" s="49">
        <v>46148</v>
      </c>
      <c r="D160" s="46">
        <v>305</v>
      </c>
      <c r="E160" s="41">
        <v>780</v>
      </c>
      <c r="H160" s="51">
        <v>10.687273923051627</v>
      </c>
    </row>
    <row r="161" spans="1:8" ht="16.5" x14ac:dyDescent="0.25">
      <c r="A161" s="47">
        <v>94928</v>
      </c>
      <c r="B161" s="50" t="s">
        <v>163</v>
      </c>
      <c r="C161" s="49">
        <v>46148</v>
      </c>
      <c r="D161" s="48">
        <v>301</v>
      </c>
      <c r="E161" s="41">
        <v>780</v>
      </c>
      <c r="H161" s="51">
        <v>10.654390003288391</v>
      </c>
    </row>
    <row r="162" spans="1:8" ht="16.5" x14ac:dyDescent="0.25">
      <c r="A162" s="45">
        <v>94929</v>
      </c>
      <c r="B162" s="49" t="s">
        <v>164</v>
      </c>
      <c r="C162" s="49">
        <v>46148</v>
      </c>
      <c r="D162" s="46">
        <v>327</v>
      </c>
      <c r="E162" s="41">
        <v>780</v>
      </c>
      <c r="H162" s="51">
        <v>10.621506083525157</v>
      </c>
    </row>
    <row r="163" spans="1:8" ht="16.5" x14ac:dyDescent="0.25">
      <c r="A163" s="47">
        <v>94930</v>
      </c>
      <c r="B163" s="50" t="s">
        <v>164</v>
      </c>
      <c r="C163" s="49">
        <v>46148</v>
      </c>
      <c r="D163" s="48">
        <v>332</v>
      </c>
      <c r="E163" s="41">
        <v>780</v>
      </c>
      <c r="H163" s="51">
        <v>10.621506083525157</v>
      </c>
    </row>
    <row r="164" spans="1:8" ht="16.5" x14ac:dyDescent="0.25">
      <c r="A164" s="45">
        <v>94931</v>
      </c>
      <c r="B164" s="49" t="s">
        <v>164</v>
      </c>
      <c r="C164" s="49">
        <v>46148</v>
      </c>
      <c r="D164" s="46">
        <v>328</v>
      </c>
      <c r="E164" s="41">
        <v>780</v>
      </c>
      <c r="H164" s="51">
        <v>10.621506083525157</v>
      </c>
    </row>
    <row r="165" spans="1:8" ht="16.5" x14ac:dyDescent="0.25">
      <c r="A165" s="47">
        <v>94932</v>
      </c>
      <c r="B165" s="50" t="s">
        <v>164</v>
      </c>
      <c r="C165" s="49">
        <v>46148</v>
      </c>
      <c r="D165" s="48">
        <v>327</v>
      </c>
      <c r="E165" s="41">
        <v>780</v>
      </c>
      <c r="H165" s="51">
        <v>10.621506083525157</v>
      </c>
    </row>
    <row r="166" spans="1:8" ht="16.5" x14ac:dyDescent="0.25">
      <c r="A166" s="45">
        <v>94933</v>
      </c>
      <c r="B166" s="49" t="s">
        <v>165</v>
      </c>
      <c r="C166" s="49">
        <v>46148</v>
      </c>
      <c r="D166" s="46">
        <v>337</v>
      </c>
      <c r="E166" s="41">
        <v>780</v>
      </c>
      <c r="H166" s="51">
        <v>10.58862216376192</v>
      </c>
    </row>
    <row r="167" spans="1:8" ht="16.5" x14ac:dyDescent="0.25">
      <c r="A167" s="47">
        <v>94934</v>
      </c>
      <c r="B167" s="50" t="s">
        <v>165</v>
      </c>
      <c r="C167" s="49">
        <v>46148</v>
      </c>
      <c r="D167" s="48">
        <v>308</v>
      </c>
      <c r="E167" s="41">
        <v>780</v>
      </c>
      <c r="H167" s="51">
        <v>10.58862216376192</v>
      </c>
    </row>
    <row r="168" spans="1:8" ht="16.5" x14ac:dyDescent="0.25">
      <c r="A168" s="45">
        <v>94935</v>
      </c>
      <c r="B168" s="49" t="s">
        <v>166</v>
      </c>
      <c r="C168" s="49">
        <v>46148</v>
      </c>
      <c r="D168" s="46">
        <v>313</v>
      </c>
      <c r="E168" s="41">
        <v>780</v>
      </c>
      <c r="H168" s="51">
        <v>10.555738243998684</v>
      </c>
    </row>
    <row r="169" spans="1:8" ht="16.5" x14ac:dyDescent="0.25">
      <c r="A169" s="47">
        <v>94936</v>
      </c>
      <c r="B169" s="50" t="s">
        <v>167</v>
      </c>
      <c r="C169" s="49">
        <v>46148</v>
      </c>
      <c r="D169" s="48">
        <v>349</v>
      </c>
      <c r="E169" s="41">
        <v>780</v>
      </c>
      <c r="H169" s="51">
        <v>10.522854324235448</v>
      </c>
    </row>
    <row r="170" spans="1:8" ht="16.5" x14ac:dyDescent="0.25">
      <c r="A170" s="45">
        <v>94937</v>
      </c>
      <c r="B170" s="49" t="s">
        <v>168</v>
      </c>
      <c r="C170" s="49">
        <v>46148</v>
      </c>
      <c r="D170" s="46">
        <v>320</v>
      </c>
      <c r="E170" s="41">
        <v>780</v>
      </c>
      <c r="H170" s="51">
        <v>10.489970404472214</v>
      </c>
    </row>
    <row r="171" spans="1:8" ht="16.5" x14ac:dyDescent="0.25">
      <c r="A171" s="47">
        <v>94938</v>
      </c>
      <c r="B171" s="50" t="s">
        <v>168</v>
      </c>
      <c r="C171" s="49">
        <v>46148</v>
      </c>
      <c r="D171" s="48">
        <v>317</v>
      </c>
      <c r="E171" s="41">
        <v>780</v>
      </c>
      <c r="H171" s="51">
        <v>10.489970404472214</v>
      </c>
    </row>
    <row r="172" spans="1:8" ht="16.5" x14ac:dyDescent="0.25">
      <c r="A172" s="45">
        <v>94940</v>
      </c>
      <c r="B172" s="49" t="s">
        <v>169</v>
      </c>
      <c r="C172" s="49">
        <v>46148</v>
      </c>
      <c r="D172" s="46">
        <v>279</v>
      </c>
      <c r="E172" s="41">
        <v>780</v>
      </c>
      <c r="H172" s="51">
        <v>10.457086484708977</v>
      </c>
    </row>
    <row r="173" spans="1:8" ht="16.5" x14ac:dyDescent="0.25">
      <c r="A173" s="47">
        <v>94941</v>
      </c>
      <c r="B173" s="50" t="s">
        <v>169</v>
      </c>
      <c r="C173" s="49">
        <v>46148</v>
      </c>
      <c r="D173" s="48">
        <v>284</v>
      </c>
      <c r="E173" s="41">
        <v>780</v>
      </c>
      <c r="H173" s="51">
        <v>10.457086484708977</v>
      </c>
    </row>
    <row r="174" spans="1:8" ht="16.5" x14ac:dyDescent="0.25">
      <c r="A174" s="45">
        <v>94943</v>
      </c>
      <c r="B174" s="49" t="s">
        <v>170</v>
      </c>
      <c r="C174" s="49">
        <v>46148</v>
      </c>
      <c r="D174" s="46">
        <v>298</v>
      </c>
      <c r="E174" s="41">
        <v>780</v>
      </c>
      <c r="H174" s="51">
        <v>10.391318645182507</v>
      </c>
    </row>
    <row r="175" spans="1:8" ht="16.5" x14ac:dyDescent="0.25">
      <c r="A175" s="47">
        <v>94944</v>
      </c>
      <c r="B175" s="50" t="s">
        <v>171</v>
      </c>
      <c r="C175" s="49">
        <v>46148</v>
      </c>
      <c r="D175" s="48">
        <v>307</v>
      </c>
      <c r="E175" s="41">
        <v>780</v>
      </c>
      <c r="H175" s="51">
        <v>10.35843472541927</v>
      </c>
    </row>
    <row r="176" spans="1:8" ht="16.5" x14ac:dyDescent="0.25">
      <c r="A176" s="45">
        <v>94945</v>
      </c>
      <c r="B176" s="49" t="s">
        <v>171</v>
      </c>
      <c r="C176" s="49">
        <v>46148</v>
      </c>
      <c r="D176" s="46">
        <v>344</v>
      </c>
      <c r="E176" s="41">
        <v>780</v>
      </c>
      <c r="H176" s="51">
        <v>10.35843472541927</v>
      </c>
    </row>
    <row r="177" spans="1:8" ht="16.5" x14ac:dyDescent="0.25">
      <c r="A177" s="47">
        <v>94946</v>
      </c>
      <c r="B177" s="50" t="s">
        <v>171</v>
      </c>
      <c r="C177" s="49">
        <v>46148</v>
      </c>
      <c r="D177" s="48">
        <v>350</v>
      </c>
      <c r="E177" s="41">
        <v>780</v>
      </c>
      <c r="H177" s="51">
        <v>10.35843472541927</v>
      </c>
    </row>
    <row r="178" spans="1:8" ht="16.5" x14ac:dyDescent="0.25">
      <c r="A178" s="45">
        <v>94947</v>
      </c>
      <c r="B178" s="49" t="s">
        <v>172</v>
      </c>
      <c r="C178" s="49">
        <v>46148</v>
      </c>
      <c r="D178" s="46">
        <v>333</v>
      </c>
      <c r="E178" s="41">
        <v>780</v>
      </c>
      <c r="H178" s="51">
        <v>10.325550805656034</v>
      </c>
    </row>
    <row r="179" spans="1:8" ht="16.5" x14ac:dyDescent="0.25">
      <c r="A179" s="47">
        <v>94948</v>
      </c>
      <c r="B179" s="50" t="s">
        <v>173</v>
      </c>
      <c r="C179" s="49">
        <v>46148</v>
      </c>
      <c r="D179" s="48">
        <v>350</v>
      </c>
      <c r="E179" s="41">
        <v>780</v>
      </c>
      <c r="H179" s="51">
        <v>10.292666885892798</v>
      </c>
    </row>
    <row r="180" spans="1:8" ht="16.5" x14ac:dyDescent="0.25">
      <c r="A180" s="45">
        <v>94949</v>
      </c>
      <c r="B180" s="49" t="s">
        <v>173</v>
      </c>
      <c r="C180" s="49">
        <v>46148</v>
      </c>
      <c r="D180" s="46">
        <v>318</v>
      </c>
      <c r="E180" s="41">
        <v>780</v>
      </c>
      <c r="H180" s="51">
        <v>10.292666885892798</v>
      </c>
    </row>
    <row r="181" spans="1:8" ht="16.5" x14ac:dyDescent="0.25">
      <c r="A181" s="47">
        <v>94950</v>
      </c>
      <c r="B181" s="50" t="s">
        <v>173</v>
      </c>
      <c r="C181" s="49">
        <v>46148</v>
      </c>
      <c r="D181" s="48">
        <v>299</v>
      </c>
      <c r="E181" s="41">
        <v>780</v>
      </c>
      <c r="H181" s="51">
        <v>10.292666885892798</v>
      </c>
    </row>
    <row r="182" spans="1:8" ht="16.5" x14ac:dyDescent="0.25">
      <c r="A182" s="45">
        <v>94951</v>
      </c>
      <c r="B182" s="49" t="s">
        <v>174</v>
      </c>
      <c r="C182" s="49">
        <v>46148</v>
      </c>
      <c r="D182" s="46">
        <v>341</v>
      </c>
      <c r="E182" s="41">
        <v>780</v>
      </c>
      <c r="H182" s="51">
        <v>10.259782966129563</v>
      </c>
    </row>
    <row r="183" spans="1:8" ht="16.5" x14ac:dyDescent="0.25">
      <c r="A183" s="47">
        <v>94952</v>
      </c>
      <c r="B183" s="50" t="s">
        <v>174</v>
      </c>
      <c r="C183" s="49">
        <v>46148</v>
      </c>
      <c r="D183" s="48">
        <v>334</v>
      </c>
      <c r="E183" s="41">
        <v>780</v>
      </c>
      <c r="H183" s="51">
        <v>10.259782966129563</v>
      </c>
    </row>
    <row r="184" spans="1:8" ht="16.5" x14ac:dyDescent="0.25">
      <c r="A184" s="45">
        <v>94954</v>
      </c>
      <c r="B184" s="49" t="s">
        <v>175</v>
      </c>
      <c r="C184" s="49">
        <v>46148</v>
      </c>
      <c r="D184" s="46">
        <v>330</v>
      </c>
      <c r="E184" s="41">
        <v>780</v>
      </c>
      <c r="H184" s="51">
        <v>10.194015126603091</v>
      </c>
    </row>
    <row r="185" spans="1:8" ht="16.5" x14ac:dyDescent="0.25">
      <c r="A185" s="47">
        <v>94955</v>
      </c>
      <c r="B185" s="50" t="s">
        <v>175</v>
      </c>
      <c r="C185" s="49">
        <v>46148</v>
      </c>
      <c r="D185" s="48">
        <v>328</v>
      </c>
      <c r="E185" s="41">
        <v>780</v>
      </c>
      <c r="H185" s="51">
        <v>10.194015126603091</v>
      </c>
    </row>
    <row r="186" spans="1:8" ht="16.5" x14ac:dyDescent="0.25">
      <c r="A186" s="45">
        <v>94956</v>
      </c>
      <c r="B186" s="49" t="s">
        <v>176</v>
      </c>
      <c r="C186" s="49">
        <v>46148</v>
      </c>
      <c r="D186" s="46">
        <v>304</v>
      </c>
      <c r="E186" s="41">
        <v>780</v>
      </c>
      <c r="H186" s="51">
        <v>10.161131206839855</v>
      </c>
    </row>
    <row r="187" spans="1:8" ht="16.5" x14ac:dyDescent="0.25">
      <c r="A187" s="47">
        <v>94957</v>
      </c>
      <c r="B187" s="50" t="s">
        <v>176</v>
      </c>
      <c r="C187" s="49">
        <v>46148</v>
      </c>
      <c r="D187" s="48">
        <v>301</v>
      </c>
      <c r="E187" s="41">
        <v>780</v>
      </c>
      <c r="H187" s="51">
        <v>10.161131206839855</v>
      </c>
    </row>
    <row r="188" spans="1:8" ht="16.5" x14ac:dyDescent="0.25">
      <c r="A188" s="45">
        <v>94958</v>
      </c>
      <c r="B188" s="49" t="s">
        <v>177</v>
      </c>
      <c r="C188" s="49">
        <v>46148</v>
      </c>
      <c r="D188" s="46">
        <v>306</v>
      </c>
      <c r="E188" s="41">
        <v>780</v>
      </c>
      <c r="H188" s="51">
        <v>10.12824728707662</v>
      </c>
    </row>
    <row r="189" spans="1:8" ht="16.5" x14ac:dyDescent="0.25">
      <c r="A189" s="47">
        <v>94959</v>
      </c>
      <c r="B189" s="50" t="s">
        <v>177</v>
      </c>
      <c r="C189" s="49">
        <v>46148</v>
      </c>
      <c r="D189" s="48">
        <v>277</v>
      </c>
      <c r="E189" s="41">
        <v>780</v>
      </c>
      <c r="H189" s="51">
        <v>10.12824728707662</v>
      </c>
    </row>
    <row r="190" spans="1:8" ht="16.5" x14ac:dyDescent="0.25">
      <c r="A190" s="45">
        <v>94960</v>
      </c>
      <c r="B190" s="49" t="s">
        <v>177</v>
      </c>
      <c r="C190" s="49">
        <v>46148</v>
      </c>
      <c r="D190" s="46">
        <v>329</v>
      </c>
      <c r="E190" s="41">
        <v>780</v>
      </c>
      <c r="H190" s="51">
        <v>10.12824728707662</v>
      </c>
    </row>
    <row r="191" spans="1:8" ht="16.5" x14ac:dyDescent="0.25">
      <c r="A191" s="47">
        <v>94962</v>
      </c>
      <c r="B191" s="50" t="s">
        <v>178</v>
      </c>
      <c r="C191" s="49">
        <v>46148</v>
      </c>
      <c r="D191" s="48">
        <v>307</v>
      </c>
      <c r="E191" s="41">
        <v>780</v>
      </c>
      <c r="H191" s="51">
        <v>10.062479447550148</v>
      </c>
    </row>
    <row r="192" spans="1:8" ht="16.5" x14ac:dyDescent="0.25">
      <c r="A192" s="45">
        <v>94963</v>
      </c>
      <c r="B192" s="49" t="s">
        <v>178</v>
      </c>
      <c r="C192" s="49">
        <v>46148</v>
      </c>
      <c r="D192" s="46">
        <v>307</v>
      </c>
      <c r="E192" s="41">
        <v>780</v>
      </c>
      <c r="H192" s="51">
        <v>10.062479447550148</v>
      </c>
    </row>
    <row r="193" spans="1:8" ht="16.5" x14ac:dyDescent="0.25">
      <c r="A193" s="47">
        <v>94964</v>
      </c>
      <c r="B193" s="50" t="s">
        <v>178</v>
      </c>
      <c r="C193" s="49">
        <v>46148</v>
      </c>
      <c r="D193" s="48">
        <v>309</v>
      </c>
      <c r="E193" s="41">
        <v>780</v>
      </c>
      <c r="H193" s="51">
        <v>10.062479447550148</v>
      </c>
    </row>
    <row r="194" spans="1:8" ht="16.5" x14ac:dyDescent="0.25">
      <c r="A194" s="45">
        <v>94965</v>
      </c>
      <c r="B194" s="49" t="s">
        <v>179</v>
      </c>
      <c r="C194" s="49">
        <v>46148</v>
      </c>
      <c r="D194" s="46">
        <v>379</v>
      </c>
      <c r="E194" s="41">
        <v>780</v>
      </c>
      <c r="H194" s="51">
        <v>9.9967116080236771</v>
      </c>
    </row>
    <row r="195" spans="1:8" ht="16.5" x14ac:dyDescent="0.25">
      <c r="A195" s="47">
        <v>94966</v>
      </c>
      <c r="B195" s="50" t="s">
        <v>180</v>
      </c>
      <c r="C195" s="49">
        <v>46148</v>
      </c>
      <c r="D195" s="48">
        <v>290</v>
      </c>
      <c r="E195" s="41">
        <v>780</v>
      </c>
      <c r="H195" s="51">
        <v>9.9638276882604409</v>
      </c>
    </row>
    <row r="196" spans="1:8" ht="16.5" x14ac:dyDescent="0.25">
      <c r="A196" s="45">
        <v>94967</v>
      </c>
      <c r="B196" s="49" t="s">
        <v>180</v>
      </c>
      <c r="C196" s="49">
        <v>46148</v>
      </c>
      <c r="D196" s="46">
        <v>278</v>
      </c>
      <c r="E196" s="41">
        <v>780</v>
      </c>
      <c r="H196" s="51">
        <v>9.9638276882604409</v>
      </c>
    </row>
    <row r="197" spans="1:8" ht="16.5" x14ac:dyDescent="0.25">
      <c r="A197" s="47">
        <v>94969</v>
      </c>
      <c r="B197" s="50" t="s">
        <v>181</v>
      </c>
      <c r="C197" s="49">
        <v>46148</v>
      </c>
      <c r="D197" s="48">
        <v>318</v>
      </c>
      <c r="E197" s="41">
        <v>780</v>
      </c>
      <c r="H197" s="51">
        <v>9.9309437684972046</v>
      </c>
    </row>
    <row r="198" spans="1:8" ht="16.5" x14ac:dyDescent="0.25">
      <c r="A198" s="45">
        <v>94970</v>
      </c>
      <c r="B198" s="49" t="s">
        <v>182</v>
      </c>
      <c r="C198" s="49">
        <v>46148</v>
      </c>
      <c r="D198" s="46">
        <v>316</v>
      </c>
      <c r="E198" s="41">
        <v>780</v>
      </c>
      <c r="H198" s="51">
        <v>9.8651759289707339</v>
      </c>
    </row>
    <row r="199" spans="1:8" ht="16.5" x14ac:dyDescent="0.25">
      <c r="A199" s="47">
        <v>94971</v>
      </c>
      <c r="B199" s="50" t="s">
        <v>182</v>
      </c>
      <c r="C199" s="49">
        <v>46148</v>
      </c>
      <c r="D199" s="48">
        <v>302</v>
      </c>
      <c r="E199" s="41">
        <v>780</v>
      </c>
      <c r="H199" s="51">
        <v>9.8651759289707339</v>
      </c>
    </row>
    <row r="200" spans="1:8" ht="16.5" x14ac:dyDescent="0.25">
      <c r="A200" s="45">
        <v>94972</v>
      </c>
      <c r="B200" s="49" t="s">
        <v>183</v>
      </c>
      <c r="C200" s="49">
        <v>46148</v>
      </c>
      <c r="D200" s="46">
        <v>313</v>
      </c>
      <c r="E200" s="41">
        <v>780</v>
      </c>
      <c r="H200" s="51">
        <v>9.8322920092074977</v>
      </c>
    </row>
    <row r="201" spans="1:8" ht="16.5" x14ac:dyDescent="0.25">
      <c r="A201" s="47">
        <v>94973</v>
      </c>
      <c r="B201" s="50" t="s">
        <v>183</v>
      </c>
      <c r="C201" s="49">
        <v>46148</v>
      </c>
      <c r="D201" s="48">
        <v>303</v>
      </c>
      <c r="E201" s="41">
        <v>780</v>
      </c>
      <c r="H201" s="51">
        <v>9.8322920092074977</v>
      </c>
    </row>
    <row r="202" spans="1:8" ht="16.5" x14ac:dyDescent="0.25">
      <c r="A202" s="45">
        <v>94974</v>
      </c>
      <c r="B202" s="49" t="s">
        <v>184</v>
      </c>
      <c r="C202" s="49">
        <v>46148</v>
      </c>
      <c r="D202" s="46">
        <v>260</v>
      </c>
      <c r="E202" s="41">
        <v>780</v>
      </c>
      <c r="H202" s="51">
        <v>9.7994080894442614</v>
      </c>
    </row>
    <row r="203" spans="1:8" ht="16.5" x14ac:dyDescent="0.25">
      <c r="A203" s="47">
        <v>94975</v>
      </c>
      <c r="B203" s="50" t="s">
        <v>184</v>
      </c>
      <c r="C203" s="49">
        <v>46148</v>
      </c>
      <c r="D203" s="48">
        <v>313</v>
      </c>
      <c r="E203" s="41">
        <v>780</v>
      </c>
      <c r="H203" s="51">
        <v>9.7994080894442614</v>
      </c>
    </row>
    <row r="204" spans="1:8" ht="16.5" x14ac:dyDescent="0.25">
      <c r="A204" s="45">
        <v>94976</v>
      </c>
      <c r="B204" s="49" t="s">
        <v>185</v>
      </c>
      <c r="C204" s="49">
        <v>46148</v>
      </c>
      <c r="D204" s="46">
        <v>295</v>
      </c>
      <c r="E204" s="41">
        <v>780</v>
      </c>
      <c r="H204" s="51">
        <v>9.7665241696810252</v>
      </c>
    </row>
    <row r="205" spans="1:8" ht="16.5" x14ac:dyDescent="0.25">
      <c r="A205" s="47">
        <v>94977</v>
      </c>
      <c r="B205" s="50" t="s">
        <v>185</v>
      </c>
      <c r="C205" s="49">
        <v>46148</v>
      </c>
      <c r="D205" s="48">
        <v>318</v>
      </c>
      <c r="E205" s="41">
        <v>780</v>
      </c>
      <c r="H205" s="51">
        <v>9.7665241696810252</v>
      </c>
    </row>
    <row r="206" spans="1:8" ht="16.5" x14ac:dyDescent="0.25">
      <c r="A206" s="45">
        <v>94979</v>
      </c>
      <c r="B206" s="49" t="s">
        <v>186</v>
      </c>
      <c r="C206" s="49">
        <v>46148</v>
      </c>
      <c r="D206" s="46">
        <v>287</v>
      </c>
      <c r="E206" s="41">
        <v>780</v>
      </c>
      <c r="H206" s="51">
        <v>9.7336402499177908</v>
      </c>
    </row>
    <row r="207" spans="1:8" ht="16.5" x14ac:dyDescent="0.25">
      <c r="A207" s="47">
        <v>94980</v>
      </c>
      <c r="B207" s="50" t="s">
        <v>186</v>
      </c>
      <c r="C207" s="49">
        <v>46148</v>
      </c>
      <c r="D207" s="48">
        <v>321</v>
      </c>
      <c r="E207" s="41">
        <v>780</v>
      </c>
      <c r="H207" s="51">
        <v>9.7336402499177908</v>
      </c>
    </row>
    <row r="208" spans="1:8" ht="16.5" x14ac:dyDescent="0.25">
      <c r="A208" s="45">
        <v>94981</v>
      </c>
      <c r="B208" s="49" t="s">
        <v>186</v>
      </c>
      <c r="C208" s="49">
        <v>46148</v>
      </c>
      <c r="D208" s="46">
        <v>334</v>
      </c>
      <c r="E208" s="41">
        <v>780</v>
      </c>
      <c r="H208" s="51">
        <v>9.7336402499177908</v>
      </c>
    </row>
    <row r="209" spans="1:8" ht="16.5" x14ac:dyDescent="0.25">
      <c r="A209" s="47">
        <v>94982</v>
      </c>
      <c r="B209" s="50" t="s">
        <v>187</v>
      </c>
      <c r="C209" s="49">
        <v>46148</v>
      </c>
      <c r="D209" s="48">
        <v>270</v>
      </c>
      <c r="E209" s="41">
        <v>780</v>
      </c>
      <c r="H209" s="51">
        <v>9.7007563301545545</v>
      </c>
    </row>
    <row r="210" spans="1:8" ht="16.5" x14ac:dyDescent="0.25">
      <c r="A210" s="45">
        <v>94983</v>
      </c>
      <c r="B210" s="49" t="s">
        <v>188</v>
      </c>
      <c r="C210" s="49">
        <v>46148</v>
      </c>
      <c r="D210" s="46">
        <v>274</v>
      </c>
      <c r="E210" s="41">
        <v>780</v>
      </c>
      <c r="H210" s="51">
        <v>9.6678724103913183</v>
      </c>
    </row>
    <row r="211" spans="1:8" ht="16.5" x14ac:dyDescent="0.25">
      <c r="A211" s="47">
        <v>94984</v>
      </c>
      <c r="B211" s="50" t="s">
        <v>188</v>
      </c>
      <c r="C211" s="49">
        <v>46148</v>
      </c>
      <c r="D211" s="48">
        <v>299</v>
      </c>
      <c r="E211" s="41">
        <v>780</v>
      </c>
      <c r="H211" s="51">
        <v>9.6678724103913183</v>
      </c>
    </row>
    <row r="212" spans="1:8" ht="16.5" x14ac:dyDescent="0.25">
      <c r="A212" s="45">
        <v>94985</v>
      </c>
      <c r="B212" s="49" t="s">
        <v>189</v>
      </c>
      <c r="C212" s="49">
        <v>46148</v>
      </c>
      <c r="D212" s="46">
        <v>320</v>
      </c>
      <c r="E212" s="41">
        <v>780</v>
      </c>
      <c r="H212" s="51">
        <v>9.634988490628082</v>
      </c>
    </row>
    <row r="213" spans="1:8" ht="16.5" x14ac:dyDescent="0.25">
      <c r="A213" s="47">
        <v>94986</v>
      </c>
      <c r="B213" s="50" t="s">
        <v>189</v>
      </c>
      <c r="C213" s="49">
        <v>46148</v>
      </c>
      <c r="D213" s="48">
        <v>309</v>
      </c>
      <c r="E213" s="41">
        <v>780</v>
      </c>
      <c r="H213" s="51">
        <v>9.634988490628082</v>
      </c>
    </row>
    <row r="214" spans="1:8" ht="16.5" x14ac:dyDescent="0.25">
      <c r="A214" s="45">
        <v>94988</v>
      </c>
      <c r="B214" s="49" t="s">
        <v>190</v>
      </c>
      <c r="C214" s="49">
        <v>46148</v>
      </c>
      <c r="D214" s="46">
        <v>319</v>
      </c>
      <c r="E214" s="41">
        <v>780</v>
      </c>
      <c r="H214" s="51">
        <v>9.6021045708648476</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E0DF291-719B-4D1B-9BCA-F5F526BA799A}">
  <ds:schemaRefs>
    <ds:schemaRef ds:uri="http://www.w3.org/2001/XMLSchema"/>
    <ds:schemaRef ds:uri="http://www.boozallen.com/argo/gui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Werkbladen</vt:lpstr>
      </vt:variant>
      <vt:variant>
        <vt:i4>4</vt:i4>
      </vt:variant>
      <vt:variant>
        <vt:lpstr>Grafieken</vt:lpstr>
      </vt:variant>
      <vt:variant>
        <vt:i4>3</vt:i4>
      </vt:variant>
      <vt:variant>
        <vt:lpstr>Benoemde bereiken</vt:lpstr>
      </vt:variant>
      <vt:variant>
        <vt:i4>1</vt:i4>
      </vt:variant>
    </vt:vector>
  </HeadingPairs>
  <TitlesOfParts>
    <vt:vector size="8" baseType="lpstr">
      <vt:lpstr>Penn State Extension - ReadMe</vt:lpstr>
      <vt:lpstr>Calculations</vt:lpstr>
      <vt:lpstr>Custom Table</vt:lpstr>
      <vt:lpstr>Input Heifer Data</vt:lpstr>
      <vt:lpstr>Weight Graph</vt:lpstr>
      <vt:lpstr>Height Graph</vt:lpstr>
      <vt:lpstr>% Mature Size Graph</vt:lpstr>
      <vt:lpstr>'Custom Table'!Afdrukbereik</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Coleen</dc:creator>
  <cp:lastModifiedBy>Albart Coster</cp:lastModifiedBy>
  <cp:lastPrinted>2016-09-02T17:50:09Z</cp:lastPrinted>
  <dcterms:created xsi:type="dcterms:W3CDTF">2013-03-13T12:49:36Z</dcterms:created>
  <dcterms:modified xsi:type="dcterms:W3CDTF">2026-06-01T13:17:28Z</dcterms:modified>
</cp:coreProperties>
</file>