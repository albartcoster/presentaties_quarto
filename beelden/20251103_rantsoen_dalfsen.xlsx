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genaar\Documents\quarto_presentaties\beelden\"/>
    </mc:Choice>
  </mc:AlternateContent>
  <xr:revisionPtr revIDLastSave="0" documentId="13_ncr:1_{17A02E0D-9758-4AB9-91EF-28E0CC1158EE}" xr6:coauthVersionLast="47" xr6:coauthVersionMax="47" xr10:uidLastSave="{00000000-0000-0000-0000-000000000000}"/>
  <bookViews>
    <workbookView xWindow="-120" yWindow="-120" windowWidth="25440" windowHeight="15270" xr2:uid="{0B464A0B-2B78-4D5D-A3E2-3B91979E4A23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G17" i="1"/>
  <c r="H17" i="1"/>
  <c r="I17" i="1"/>
  <c r="E17" i="1"/>
  <c r="D1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2" i="1"/>
</calcChain>
</file>

<file path=xl/sharedStrings.xml><?xml version="1.0" encoding="utf-8"?>
<sst xmlns="http://schemas.openxmlformats.org/spreadsheetml/2006/main" count="23" uniqueCount="23">
  <si>
    <t>Kg</t>
  </si>
  <si>
    <t>Per Koe</t>
  </si>
  <si>
    <t>VEM</t>
  </si>
  <si>
    <t>DVE</t>
  </si>
  <si>
    <t>OEB</t>
  </si>
  <si>
    <t>RE</t>
  </si>
  <si>
    <t>DS</t>
  </si>
  <si>
    <t>Hooi</t>
  </si>
  <si>
    <t>Herfstbaal</t>
  </si>
  <si>
    <t>Zomerkuil</t>
  </si>
  <si>
    <t>Voorjaarskuil</t>
  </si>
  <si>
    <t>Witlofwortels</t>
  </si>
  <si>
    <t>Proti+</t>
  </si>
  <si>
    <t>Mais</t>
  </si>
  <si>
    <t>Perspulp</t>
  </si>
  <si>
    <t>Weerstandmineraal</t>
  </si>
  <si>
    <t>Vruchtbaarheidsmineraal</t>
  </si>
  <si>
    <t>Krijt</t>
  </si>
  <si>
    <t>Monocalciumfosfaat</t>
  </si>
  <si>
    <t>Zout-Jodium</t>
  </si>
  <si>
    <t>Natriumbicarbonaat</t>
  </si>
  <si>
    <t>Zetmeel</t>
  </si>
  <si>
    <t>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</si>
</sst>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AA161-2578-45C5-999F-96E1B48106AD}">
  <dimension ref="A1:I17"/>
  <sheetViews>
    <sheetView tabSelected="1" workbookViewId="0">
      <selection activeCell="D25" sqref="D25"/>
    </sheetView>
  </sheetViews>
  <sheetFormatPr defaultRowHeight="15" x14ac:dyDescent="0.25"/>
  <cols>
    <col min="1" max="1" width="24.140625" bestFit="1" customWidth="1"/>
  </cols>
  <sheetData>
    <row r="1" spans="1:9" x14ac:dyDescent="0.25">
      <c r="A1" s="1"/>
      <c r="B1" s="1" t="s">
        <v>0</v>
      </c>
      <c r="C1" s="1" t="s">
        <v>1</v>
      </c>
      <c r="D1" s="1" t="s">
        <v>6</v>
      </c>
      <c r="E1" s="1" t="s">
        <v>2</v>
      </c>
      <c r="F1" s="1" t="s">
        <v>5</v>
      </c>
      <c r="G1" s="1" t="s">
        <v>3</v>
      </c>
      <c r="H1" s="1" t="s">
        <v>4</v>
      </c>
      <c r="I1" s="1" t="s">
        <v>21</v>
      </c>
    </row>
    <row r="2" spans="1:9" x14ac:dyDescent="0.25">
      <c r="A2" s="1" t="s">
        <v>7</v>
      </c>
      <c r="B2" s="1">
        <v>400</v>
      </c>
      <c r="C2" s="1">
        <f>B2/119</f>
        <v>3.3613445378151261</v>
      </c>
      <c r="D2" s="2">
        <v>557</v>
      </c>
      <c r="E2" s="2">
        <v>809</v>
      </c>
      <c r="F2" s="2">
        <v>109</v>
      </c>
      <c r="G2" s="2">
        <v>51</v>
      </c>
      <c r="H2" s="2">
        <v>-16</v>
      </c>
      <c r="I2" s="2">
        <v>0</v>
      </c>
    </row>
    <row r="3" spans="1:9" x14ac:dyDescent="0.25">
      <c r="A3" s="1" t="s">
        <v>8</v>
      </c>
      <c r="B3" s="1">
        <v>800</v>
      </c>
      <c r="C3" s="1">
        <f t="shared" ref="C3:C15" si="0">B3/119</f>
        <v>6.7226890756302522</v>
      </c>
      <c r="D3" s="2">
        <v>200</v>
      </c>
      <c r="E3" s="2">
        <v>900</v>
      </c>
      <c r="F3" s="2">
        <v>200</v>
      </c>
      <c r="G3" s="2">
        <v>60</v>
      </c>
      <c r="H3" s="2">
        <v>70</v>
      </c>
      <c r="I3" s="2">
        <v>0</v>
      </c>
    </row>
    <row r="4" spans="1:9" x14ac:dyDescent="0.25">
      <c r="A4" s="1" t="s">
        <v>9</v>
      </c>
      <c r="B4" s="1">
        <v>500</v>
      </c>
      <c r="C4" s="1">
        <f t="shared" si="0"/>
        <v>4.2016806722689077</v>
      </c>
      <c r="D4" s="2">
        <v>500</v>
      </c>
      <c r="E4" s="2">
        <v>850</v>
      </c>
      <c r="F4" s="2">
        <v>150</v>
      </c>
      <c r="G4" s="2">
        <v>50</v>
      </c>
      <c r="H4" s="2">
        <v>40</v>
      </c>
      <c r="I4" s="2">
        <v>0</v>
      </c>
    </row>
    <row r="5" spans="1:9" x14ac:dyDescent="0.25">
      <c r="A5" s="1" t="s">
        <v>10</v>
      </c>
      <c r="B5" s="1">
        <v>1500</v>
      </c>
      <c r="C5" s="1">
        <f t="shared" si="0"/>
        <v>12.605042016806722</v>
      </c>
      <c r="D5" s="2">
        <v>470</v>
      </c>
      <c r="E5" s="2">
        <v>923</v>
      </c>
      <c r="F5" s="2">
        <v>174</v>
      </c>
      <c r="G5" s="2">
        <v>66</v>
      </c>
      <c r="H5" s="2">
        <v>43</v>
      </c>
      <c r="I5" s="2">
        <v>0</v>
      </c>
    </row>
    <row r="6" spans="1:9" x14ac:dyDescent="0.25">
      <c r="A6" s="1" t="s">
        <v>11</v>
      </c>
      <c r="B6" s="1">
        <v>1100</v>
      </c>
      <c r="C6" s="1">
        <f t="shared" si="0"/>
        <v>9.2436974789915958</v>
      </c>
      <c r="D6" s="2">
        <v>149</v>
      </c>
      <c r="E6" s="2">
        <v>1021</v>
      </c>
      <c r="F6" s="2">
        <v>58</v>
      </c>
      <c r="G6" s="2">
        <v>8</v>
      </c>
      <c r="H6" s="2">
        <v>-90</v>
      </c>
      <c r="I6" s="2">
        <v>0</v>
      </c>
    </row>
    <row r="7" spans="1:9" x14ac:dyDescent="0.25">
      <c r="A7" s="1" t="s">
        <v>12</v>
      </c>
      <c r="B7" s="1">
        <v>1200</v>
      </c>
      <c r="C7" s="1">
        <f t="shared" si="0"/>
        <v>10.084033613445378</v>
      </c>
      <c r="D7" s="2">
        <v>350</v>
      </c>
      <c r="E7" s="2">
        <v>1083</v>
      </c>
      <c r="F7" s="2">
        <v>245</v>
      </c>
      <c r="G7" s="2">
        <v>115</v>
      </c>
      <c r="H7" s="2">
        <v>71</v>
      </c>
      <c r="I7" s="2">
        <v>90</v>
      </c>
    </row>
    <row r="8" spans="1:9" x14ac:dyDescent="0.25">
      <c r="A8" s="1" t="s">
        <v>13</v>
      </c>
      <c r="B8" s="1">
        <v>900</v>
      </c>
      <c r="C8" s="1">
        <f t="shared" si="0"/>
        <v>7.5630252100840334</v>
      </c>
      <c r="D8" s="2">
        <v>405</v>
      </c>
      <c r="E8" s="2">
        <v>1009</v>
      </c>
      <c r="F8" s="2">
        <v>58</v>
      </c>
      <c r="G8" s="2">
        <v>51</v>
      </c>
      <c r="H8" s="2">
        <v>-50</v>
      </c>
      <c r="I8" s="2">
        <v>363</v>
      </c>
    </row>
    <row r="9" spans="1:9" x14ac:dyDescent="0.25">
      <c r="A9" s="1" t="s">
        <v>14</v>
      </c>
      <c r="B9" s="1">
        <v>500</v>
      </c>
      <c r="C9" s="1">
        <f t="shared" si="0"/>
        <v>4.2016806722689077</v>
      </c>
      <c r="D9" s="2">
        <v>270</v>
      </c>
      <c r="E9" s="2">
        <v>1087</v>
      </c>
      <c r="F9" s="2">
        <v>84</v>
      </c>
      <c r="G9" s="2">
        <v>96</v>
      </c>
      <c r="H9" s="2">
        <v>-62</v>
      </c>
      <c r="I9" s="2">
        <v>0</v>
      </c>
    </row>
    <row r="10" spans="1:9" x14ac:dyDescent="0.25">
      <c r="A10" s="1" t="s">
        <v>15</v>
      </c>
      <c r="B10" s="1">
        <v>2</v>
      </c>
      <c r="C10" s="1">
        <f t="shared" si="0"/>
        <v>1.680672268907563E-2</v>
      </c>
      <c r="D10" s="2">
        <v>990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</row>
    <row r="11" spans="1:9" x14ac:dyDescent="0.25">
      <c r="A11" s="1" t="s">
        <v>16</v>
      </c>
      <c r="B11" s="1">
        <v>4</v>
      </c>
      <c r="C11" s="1">
        <f t="shared" si="0"/>
        <v>3.3613445378151259E-2</v>
      </c>
      <c r="D11" s="2">
        <v>990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</row>
    <row r="12" spans="1:9" x14ac:dyDescent="0.25">
      <c r="A12" s="1" t="s">
        <v>17</v>
      </c>
      <c r="B12" s="1">
        <v>8</v>
      </c>
      <c r="C12" s="1">
        <f t="shared" si="0"/>
        <v>6.7226890756302518E-2</v>
      </c>
      <c r="D12" s="2">
        <v>990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</row>
    <row r="13" spans="1:9" x14ac:dyDescent="0.25">
      <c r="A13" s="1" t="s">
        <v>18</v>
      </c>
      <c r="B13" s="1">
        <v>6</v>
      </c>
      <c r="C13" s="1">
        <f t="shared" si="0"/>
        <v>5.0420168067226892E-2</v>
      </c>
      <c r="D13" s="2">
        <v>990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</row>
    <row r="14" spans="1:9" x14ac:dyDescent="0.25">
      <c r="A14" s="1" t="s">
        <v>19</v>
      </c>
      <c r="B14" s="1">
        <v>6</v>
      </c>
      <c r="C14" s="1">
        <f t="shared" si="0"/>
        <v>5.0420168067226892E-2</v>
      </c>
      <c r="D14" s="2">
        <v>990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</row>
    <row r="15" spans="1:9" x14ac:dyDescent="0.25">
      <c r="A15" s="1" t="s">
        <v>20</v>
      </c>
      <c r="B15" s="1">
        <v>20</v>
      </c>
      <c r="C15" s="1">
        <f t="shared" si="0"/>
        <v>0.16806722689075632</v>
      </c>
      <c r="D15" s="2">
        <v>990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 t="s">
        <v>22</v>
      </c>
      <c r="B17" s="1"/>
      <c r="C17" s="1"/>
      <c r="D17" s="1">
        <f>SUMPRODUCT(C2:C15,D2:D15)/1000</f>
        <v>20.72890756302521</v>
      </c>
      <c r="E17" s="1">
        <f>SUMPRODUCT($C2:$C15,$D2:$D15,E2:E15)/$D17/1000</f>
        <v>942.21020456148608</v>
      </c>
      <c r="F17" s="1">
        <f t="shared" ref="F17:I17" si="1">SUMPRODUCT($C2:$C15,$D2:$D15,F2:F15)/$D17/1000</f>
        <v>146.4858071787055</v>
      </c>
      <c r="G17" s="1">
        <f t="shared" si="1"/>
        <v>65.33055774017528</v>
      </c>
      <c r="H17" s="1">
        <f t="shared" si="1"/>
        <v>14.766128574555893</v>
      </c>
      <c r="I17" s="1">
        <f t="shared" si="1"/>
        <v>68.962882184583691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Albart Coster</dc:creator>
  <cp:lastModifiedBy>Albart Coster</cp:lastModifiedBy>
  <dcterms:created xsi:type="dcterms:W3CDTF">2025-11-03T10:54:29Z</dcterms:created>
  <dcterms:modified xsi:type="dcterms:W3CDTF">2025-11-03T11:07:18Z</dcterms:modified>
</cp:coreProperties>
</file>